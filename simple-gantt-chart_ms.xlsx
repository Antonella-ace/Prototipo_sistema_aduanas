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Schedule" sheetId="1" r:id="rId4"/>
    <sheet state="visible" name="About" sheetId="2" r:id="rId5"/>
  </sheets>
  <definedNames>
    <definedName name="valuevx">42.314159</definedName>
    <definedName localSheetId="0" name="task_progress">ProjectSchedule!$D$1</definedName>
    <definedName localSheetId="0" name="task_start">ProjectSchedule!$E$1</definedName>
    <definedName localSheetId="0" name="task_end">ProjectSchedule!$F$1</definedName>
    <definedName localSheetId="0" name="today">ProjectSchedule!$E$3</definedName>
  </definedNames>
  <calcPr/>
  <extLst>
    <ext uri="GoogleSheetsCustomDataVersion2">
      <go:sheetsCustomData xmlns:go="http://customooxmlschemas.google.com/" r:id="rId6" roundtripDataChecksum="V/meyn4CMXyzGdFPvuFq1QmnWXHVa9l2fh7pXeGbFZ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6">
      <text>
        <t xml:space="preserve">======
ID#AAAB_88Oulc
DAYS    (2026-07-13 03:28:41)
This column calculates the duration of the task in calendar days. The duration includes both the Start and End dates.</t>
      </text>
    </comment>
  </commentList>
  <extLst>
    <ext uri="GoogleSheetsCustomDataVersion2">
      <go:sheetsCustomData xmlns:go="http://customooxmlschemas.google.com/" r:id="rId1" roundtripDataSignature="AMtx7mh2J4D+DhNTxbzZw+s5HVMA39Barw=="/>
    </ext>
  </extLst>
</comments>
</file>

<file path=xl/sharedStrings.xml><?xml version="1.0" encoding="utf-8"?>
<sst xmlns="http://schemas.openxmlformats.org/spreadsheetml/2006/main" count="67" uniqueCount="64">
  <si>
    <t>Modernización Del Servicio Nacional De 
Aduanas</t>
  </si>
  <si>
    <t>labs operation.</t>
  </si>
  <si>
    <t>Project Start:</t>
  </si>
  <si>
    <t>Antonella Acevedo C.</t>
  </si>
  <si>
    <t>Today:</t>
  </si>
  <si>
    <t>Display Week:</t>
  </si>
  <si>
    <t>TASK</t>
  </si>
  <si>
    <t>ASSIGNED
TO</t>
  </si>
  <si>
    <t>PROGRESS</t>
  </si>
  <si>
    <t>START</t>
  </si>
  <si>
    <t>END</t>
  </si>
  <si>
    <t>DAYS</t>
  </si>
  <si>
    <t>INICIO Y ANÁLISIS</t>
  </si>
  <si>
    <t>Kick- off y Acta de Proyecto</t>
  </si>
  <si>
    <t>Levantamiento de requisitos</t>
  </si>
  <si>
    <t>Documentación ERS (IEEE 830)</t>
  </si>
  <si>
    <t xml:space="preserve">	Validación con el cliente</t>
  </si>
  <si>
    <t>BUFFER 1- revision de requisitos</t>
  </si>
  <si>
    <t xml:space="preserve">	DISEÑO</t>
  </si>
  <si>
    <t>Arquitectura de software</t>
  </si>
  <si>
    <t xml:space="preserve">	Diseño de base de datos</t>
  </si>
  <si>
    <t>Prototipado de UI (mockups)</t>
  </si>
  <si>
    <t xml:space="preserve">	Definición de APIs internas</t>
  </si>
  <si>
    <t>BUFFER 2- Revision de diseño</t>
  </si>
  <si>
    <t xml:space="preserve">	DESARROLLO (SPRINTS</t>
  </si>
  <si>
    <t>Sprint 1 – Backend base y autenticación</t>
  </si>
  <si>
    <t>Pruebas del Sprint 1</t>
  </si>
  <si>
    <t xml:space="preserve">	Sprint 2 – Módulo vehículos y menores</t>
  </si>
  <si>
    <t xml:space="preserve"> Pruebas del Sprint 2</t>
  </si>
  <si>
    <t>Sprint 3 – Módulo SAG/mascotas e integración con SAG/PDI</t>
  </si>
  <si>
    <t>Pruebas del Sprint 3</t>
  </si>
  <si>
    <t>Sprint 4 – Portal autogestión y reportes</t>
  </si>
  <si>
    <t>Pruebas del Sprint 4</t>
  </si>
  <si>
    <t>24//06/2026</t>
  </si>
  <si>
    <t xml:space="preserve">	Sprint 5 – Integración con Aduana Argentina y control de colas</t>
  </si>
  <si>
    <t xml:space="preserve"> Pruebas del Sprint 5</t>
  </si>
  <si>
    <t>BUFFER 3 – Integración y ajustes post-sprint</t>
  </si>
  <si>
    <t xml:space="preserve">	PRUEBAS</t>
  </si>
  <si>
    <t>Pruebas unitarias (continuas)</t>
  </si>
  <si>
    <t>Pruebas de integración</t>
  </si>
  <si>
    <t>Pruebas de sistema y rendimiento</t>
  </si>
  <si>
    <t>Pruebas de seguridad</t>
  </si>
  <si>
    <t>BUFFER 4 – Correcciones post-pruebas</t>
  </si>
  <si>
    <t>IMPLEMENTACIÓN Y CIERRE</t>
  </si>
  <si>
    <t>Capacitación a usuarios</t>
  </si>
  <si>
    <t>Despliegue en producción</t>
  </si>
  <si>
    <t>Documentación final y cierre</t>
  </si>
  <si>
    <t>BUFFER 5 – Marcha blanca y monitoreo</t>
  </si>
  <si>
    <t xml:space="preserve"> BUFFER 6 – Cierre administrativo</t>
  </si>
  <si>
    <t>Insert new rows ABOVE this one</t>
  </si>
  <si>
    <t>SIMPLE GANTT CHART by Vertex42.com</t>
  </si>
  <si>
    <t>https://www.vertex42.com/ExcelTemplates/simple-gantt-chart.html</t>
  </si>
  <si>
    <t>© 2018-2019 Vertex42 LLC</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</si>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</sst>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d\,\ m/d/yyyy"/>
    <numFmt numFmtId="165" formatCode="mmm\ d\,\ yyyy"/>
    <numFmt numFmtId="166" formatCode="d"/>
    <numFmt numFmtId="167" formatCode="m/d/yy"/>
    <numFmt numFmtId="168" formatCode="dd/mm/yyyy"/>
    <numFmt numFmtId="169" formatCode="D/M/YYYY"/>
  </numFmts>
  <fonts count="31">
    <font>
      <sz val="11.0"/>
      <color theme="1"/>
      <name val="Calibri"/>
      <scheme val="minor"/>
    </font>
    <font>
      <b/>
      <sz val="22.0"/>
      <color rgb="FF595959"/>
      <name val="Calibri"/>
    </font>
    <font>
      <b/>
      <sz val="20.0"/>
      <color rgb="FF366092"/>
      <name val="Calibri"/>
    </font>
    <font>
      <sz val="10.0"/>
      <color theme="1"/>
      <name val="Calibri"/>
    </font>
    <font>
      <sz val="10.0"/>
      <color rgb="FF7F7F7F"/>
      <name val="Calibri"/>
    </font>
    <font>
      <u/>
      <sz val="9.0"/>
      <color rgb="FF366092"/>
      <name val="Arial"/>
    </font>
    <font>
      <sz val="14.0"/>
      <color theme="1"/>
      <name val="Calibri"/>
    </font>
    <font>
      <sz val="11.0"/>
      <color theme="1"/>
      <name val="Calibri"/>
    </font>
    <font/>
    <font>
      <sz val="9.0"/>
      <color theme="1"/>
      <name val="Calibri"/>
    </font>
    <font>
      <sz val="16.0"/>
      <color theme="1"/>
      <name val="Calibri"/>
    </font>
    <font>
      <b/>
      <sz val="9.0"/>
      <color theme="0"/>
      <name val="Calibri"/>
    </font>
    <font>
      <sz val="8.0"/>
      <color theme="0"/>
      <name val="Calibri"/>
    </font>
    <font>
      <b/>
      <sz val="11.0"/>
      <color theme="1"/>
      <name val="Calibri"/>
    </font>
    <font>
      <i/>
      <sz val="9.0"/>
      <color theme="1"/>
      <name val="Calibri"/>
    </font>
    <font>
      <b/>
      <u/>
      <sz val="11.0"/>
      <color rgb="FF7F7F7F"/>
      <name val="Calibri"/>
    </font>
    <font>
      <b/>
      <sz val="11.0"/>
      <color rgb="FF7F7F7F"/>
      <name val="Calibri"/>
    </font>
    <font>
      <sz val="11.0"/>
      <color theme="0"/>
      <name val="Calibri"/>
    </font>
    <font>
      <u/>
      <sz val="9.0"/>
      <color rgb="FF7F7F7F"/>
      <name val="Arial"/>
    </font>
    <font>
      <sz val="10.0"/>
      <color rgb="FF7F7F7F"/>
      <name val="Arial"/>
    </font>
    <font>
      <sz val="9.0"/>
      <color rgb="FF7F7F7F"/>
      <name val="Arial"/>
    </font>
    <font>
      <b/>
      <sz val="10.0"/>
      <color theme="1"/>
      <name val="Calibri"/>
    </font>
    <font>
      <b/>
      <u/>
      <sz val="12.0"/>
      <color rgb="FF595959"/>
      <name val="Calibri"/>
    </font>
    <font>
      <b/>
      <sz val="12.0"/>
      <color rgb="FF595959"/>
      <name val="Calibri"/>
    </font>
    <font>
      <u/>
      <sz val="11.0"/>
      <color rgb="FF7F7F7F"/>
      <name val="Calibri"/>
    </font>
    <font>
      <sz val="11.0"/>
      <color rgb="FF7F7F7F"/>
      <name val="Calibri"/>
    </font>
    <font>
      <sz val="10.0"/>
      <color rgb="FF595959"/>
      <name val="Calibri"/>
    </font>
    <font>
      <sz val="20.0"/>
      <color theme="1"/>
      <name val="Calibri"/>
    </font>
    <font>
      <b/>
      <sz val="16.0"/>
      <color rgb="FF366092"/>
      <name val="Calibri"/>
    </font>
    <font>
      <sz val="11.0"/>
      <color rgb="FF1D2129"/>
      <name val="Calibri"/>
    </font>
    <font>
      <u/>
      <sz val="11.0"/>
      <color rgb="FF0000FF"/>
      <name val="Arial"/>
    </font>
  </fonts>
  <fills count="15">
    <fill>
      <patternFill patternType="none"/>
    </fill>
    <fill>
      <patternFill patternType="lightGray"/>
    </fill>
    <fill>
      <patternFill patternType="solid">
        <fgColor rgb="FFD8D8D8"/>
        <bgColor rgb="FFD8D8D8"/>
      </patternFill>
    </fill>
    <fill>
      <patternFill patternType="solid">
        <fgColor rgb="FF595959"/>
        <bgColor rgb="FF595959"/>
      </patternFill>
    </fill>
    <fill>
      <patternFill patternType="solid">
        <fgColor rgb="FFB8CCE4"/>
        <bgColor rgb="FFB8CCE4"/>
      </patternFill>
    </fill>
    <fill>
      <patternFill patternType="solid">
        <fgColor rgb="FFDBE5F1"/>
        <bgColor rgb="FFDBE5F1"/>
      </patternFill>
    </fill>
    <fill>
      <patternFill patternType="solid">
        <fgColor rgb="FFE5B8B7"/>
        <bgColor rgb="FFE5B8B7"/>
      </patternFill>
    </fill>
    <fill>
      <patternFill patternType="solid">
        <fgColor rgb="FFF2DBDB"/>
        <bgColor rgb="FFF2DBDB"/>
      </patternFill>
    </fill>
    <fill>
      <patternFill patternType="solid">
        <fgColor rgb="FFD6E3BC"/>
        <bgColor rgb="FFD6E3BC"/>
      </patternFill>
    </fill>
    <fill>
      <patternFill patternType="solid">
        <fgColor rgb="FFEAF1DD"/>
        <bgColor rgb="FFEAF1DD"/>
      </patternFill>
    </fill>
    <fill>
      <patternFill patternType="solid">
        <fgColor rgb="FFCCC0D9"/>
        <bgColor rgb="FFCCC0D9"/>
      </patternFill>
    </fill>
    <fill>
      <patternFill patternType="solid">
        <fgColor rgb="FFE5DFEC"/>
        <bgColor rgb="FFE5DFEC"/>
      </patternFill>
    </fill>
    <fill>
      <patternFill patternType="solid">
        <fgColor rgb="FFB6DDE8"/>
        <bgColor rgb="FFB6DDE8"/>
      </patternFill>
    </fill>
    <fill>
      <patternFill patternType="solid">
        <fgColor rgb="FFDAEEF3"/>
        <bgColor rgb="FFDAEEF3"/>
      </patternFill>
    </fill>
    <fill>
      <patternFill patternType="solid">
        <fgColor rgb="FFF2F2F2"/>
        <bgColor rgb="FFF2F2F2"/>
      </patternFill>
    </fill>
  </fills>
  <borders count="15">
    <border/>
    <border>
      <left style="thin">
        <color rgb="FFA5A5A5"/>
      </left>
      <top style="thin">
        <color rgb="FFA5A5A5"/>
      </top>
      <bottom style="thin">
        <color rgb="FFA5A5A5"/>
      </bottom>
    </border>
    <border>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
      <left style="thin">
        <color rgb="FFA5A5A5"/>
      </left>
      <top style="thin">
        <color rgb="FFA5A5A5"/>
      </top>
      <bottom/>
    </border>
    <border>
      <top style="thin">
        <color rgb="FFA5A5A5"/>
      </top>
      <bottom/>
    </border>
    <border>
      <right style="thin">
        <color rgb="FFA5A5A5"/>
      </right>
      <top style="thin">
        <color rgb="FFA5A5A5"/>
      </top>
      <bottom/>
    </border>
    <border>
      <left style="thin">
        <color rgb="FFA5A5A5"/>
      </left>
      <right/>
      <top/>
      <bottom/>
    </border>
    <border>
      <left/>
      <right/>
      <top/>
      <bottom/>
    </border>
    <border>
      <left/>
      <right style="thin">
        <color rgb="FFA5A5A5"/>
      </right>
      <top/>
      <bottom/>
    </border>
    <border>
      <left/>
      <right/>
      <top style="thin">
        <color rgb="FFA5A5A5"/>
      </top>
      <bottom/>
    </border>
    <border>
      <left style="thin">
        <color rgb="FFA5A5A5"/>
      </left>
      <right style="thin">
        <color rgb="FFA5A5A5"/>
      </right>
      <top/>
      <bottom style="medium">
        <color rgb="FFD8D8D8"/>
      </bottom>
    </border>
    <border>
      <top style="medium">
        <color rgb="FFD8D8D8"/>
      </top>
      <bottom style="medium">
        <color rgb="FFD8D8D8"/>
      </bottom>
    </border>
    <border>
      <left style="thin">
        <color rgb="FFD8D8D8"/>
      </left>
      <right style="thin">
        <color rgb="FFD8D8D8"/>
      </right>
      <top style="medium">
        <color rgb="FFD8D8D8"/>
      </top>
      <bottom style="medium">
        <color rgb="FFD8D8D8"/>
      </bottom>
    </border>
    <border>
      <left/>
      <right/>
      <top style="medium">
        <color rgb="FFD8D8D8"/>
      </top>
      <bottom style="medium">
        <color rgb="FFD8D8D8"/>
      </bottom>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0" fillId="0" fontId="1" numFmtId="0" xfId="0" applyAlignment="1" applyFont="1">
      <alignment horizontal="left" shrinkToFit="0" wrapText="1"/>
    </xf>
    <xf borderId="0" fillId="0" fontId="2" numFmtId="0" xfId="0" applyAlignment="1" applyFont="1">
      <alignment horizontal="left"/>
    </xf>
    <xf borderId="0" fillId="0" fontId="3" numFmtId="0" xfId="0" applyFont="1"/>
    <xf borderId="0" fillId="0" fontId="3" numFmtId="0" xfId="0" applyAlignment="1" applyFont="1">
      <alignment horizontal="center"/>
    </xf>
    <xf borderId="0" fillId="0" fontId="3" numFmtId="0" xfId="0" applyAlignment="1" applyFont="1">
      <alignment horizontal="right" vertical="center"/>
    </xf>
    <xf borderId="0" fillId="0" fontId="4" numFmtId="0" xfId="0" applyAlignment="1" applyFont="1">
      <alignment vertical="center"/>
    </xf>
    <xf borderId="0" fillId="0" fontId="5" numFmtId="0" xfId="0" applyAlignment="1" applyFont="1">
      <alignment horizontal="left" vertical="center"/>
    </xf>
    <xf borderId="0" fillId="0" fontId="6" numFmtId="0" xfId="0" applyFont="1"/>
    <xf borderId="0" fillId="0" fontId="7" numFmtId="0" xfId="0" applyAlignment="1" applyFont="1">
      <alignment horizontal="right" vertical="center"/>
    </xf>
    <xf borderId="1" fillId="0" fontId="7" numFmtId="164" xfId="0" applyAlignment="1" applyBorder="1" applyFont="1" applyNumberFormat="1">
      <alignment horizontal="center" readingOrder="0" vertical="center"/>
    </xf>
    <xf borderId="2" fillId="0" fontId="8" numFmtId="0" xfId="0" applyBorder="1" applyFont="1"/>
    <xf borderId="3" fillId="0" fontId="7" numFmtId="0" xfId="0" applyAlignment="1" applyBorder="1" applyFont="1">
      <alignment horizontal="center" vertical="center"/>
    </xf>
    <xf borderId="4" fillId="2" fontId="7" numFmtId="165" xfId="0" applyAlignment="1" applyBorder="1" applyFill="1" applyFont="1" applyNumberFormat="1">
      <alignment horizontal="left" shrinkToFit="0" vertical="center" wrapText="1"/>
    </xf>
    <xf borderId="5" fillId="0" fontId="8" numFmtId="0" xfId="0" applyBorder="1" applyFont="1"/>
    <xf borderId="6" fillId="0" fontId="8" numFmtId="0" xfId="0" applyBorder="1" applyFont="1"/>
    <xf borderId="0" fillId="0" fontId="7" numFmtId="0" xfId="0" applyAlignment="1" applyFont="1">
      <alignment horizontal="center"/>
    </xf>
    <xf borderId="7" fillId="2" fontId="9" numFmtId="166" xfId="0" applyAlignment="1" applyBorder="1" applyFont="1" applyNumberFormat="1">
      <alignment horizontal="center" vertical="center"/>
    </xf>
    <xf borderId="8" fillId="2" fontId="9" numFmtId="166" xfId="0" applyAlignment="1" applyBorder="1" applyFont="1" applyNumberFormat="1">
      <alignment horizontal="center" vertical="center"/>
    </xf>
    <xf borderId="9" fillId="2" fontId="9" numFmtId="166" xfId="0" applyAlignment="1" applyBorder="1" applyFont="1" applyNumberFormat="1">
      <alignment horizontal="center" vertical="center"/>
    </xf>
    <xf borderId="0" fillId="0" fontId="10" numFmtId="0" xfId="0" applyAlignment="1" applyFont="1">
      <alignment horizontal="right" vertical="center"/>
    </xf>
    <xf borderId="10" fillId="3" fontId="11" numFmtId="0" xfId="0" applyAlignment="1" applyBorder="1" applyFill="1" applyFont="1">
      <alignment horizontal="left" vertical="center"/>
    </xf>
    <xf borderId="10" fillId="3" fontId="11" numFmtId="0" xfId="0" applyAlignment="1" applyBorder="1" applyFont="1">
      <alignment horizontal="center" shrinkToFit="0" vertical="center" wrapText="1"/>
    </xf>
    <xf borderId="11" fillId="3" fontId="12" numFmtId="0" xfId="0" applyAlignment="1" applyBorder="1" applyFont="1">
      <alignment horizontal="center" shrinkToFit="1" vertical="center" wrapText="0"/>
    </xf>
    <xf borderId="12" fillId="0" fontId="7" numFmtId="0" xfId="0" applyAlignment="1" applyBorder="1" applyFont="1">
      <alignment horizontal="left" vertical="center"/>
    </xf>
    <xf borderId="12" fillId="0" fontId="7" numFmtId="0" xfId="0" applyAlignment="1" applyBorder="1" applyFont="1">
      <alignment horizontal="center" vertical="center"/>
    </xf>
    <xf borderId="12" fillId="0" fontId="7" numFmtId="9" xfId="0" applyAlignment="1" applyBorder="1" applyFont="1" applyNumberFormat="1">
      <alignment horizontal="center" vertical="center"/>
    </xf>
    <xf borderId="12" fillId="0" fontId="7" numFmtId="167" xfId="0" applyAlignment="1" applyBorder="1" applyFont="1" applyNumberFormat="1">
      <alignment horizontal="center" vertical="center"/>
    </xf>
    <xf borderId="13" fillId="0" fontId="7" numFmtId="0" xfId="0" applyAlignment="1" applyBorder="1" applyFont="1">
      <alignment vertical="center"/>
    </xf>
    <xf borderId="14" fillId="4" fontId="13" numFmtId="0" xfId="0" applyAlignment="1" applyBorder="1" applyFill="1" applyFont="1">
      <alignment horizontal="left" vertical="center"/>
    </xf>
    <xf borderId="14" fillId="4" fontId="13" numFmtId="0" xfId="0" applyAlignment="1" applyBorder="1" applyFont="1">
      <alignment horizontal="center" vertical="center"/>
    </xf>
    <xf borderId="14" fillId="4" fontId="7" numFmtId="9" xfId="0" applyAlignment="1" applyBorder="1" applyFont="1" applyNumberFormat="1">
      <alignment horizontal="center" vertical="center"/>
    </xf>
    <xf borderId="14" fillId="4" fontId="7" numFmtId="167" xfId="0" applyAlignment="1" applyBorder="1" applyFont="1" applyNumberFormat="1">
      <alignment horizontal="center" vertical="center"/>
    </xf>
    <xf borderId="14" fillId="5" fontId="7" numFmtId="0" xfId="0" applyAlignment="1" applyBorder="1" applyFill="1" applyFont="1">
      <alignment horizontal="left" vertical="center"/>
    </xf>
    <xf borderId="14" fillId="5" fontId="7" numFmtId="0" xfId="0" applyAlignment="1" applyBorder="1" applyFont="1">
      <alignment horizontal="center" vertical="center"/>
    </xf>
    <xf borderId="14" fillId="5" fontId="7" numFmtId="9" xfId="0" applyAlignment="1" applyBorder="1" applyFont="1" applyNumberFormat="1">
      <alignment horizontal="center" vertical="center"/>
    </xf>
    <xf borderId="14" fillId="5" fontId="7" numFmtId="167" xfId="0" applyAlignment="1" applyBorder="1" applyFont="1" applyNumberFormat="1">
      <alignment horizontal="center" readingOrder="0" vertical="center"/>
    </xf>
    <xf borderId="13" fillId="0" fontId="7" numFmtId="0" xfId="0" applyAlignment="1" applyBorder="1" applyFont="1">
      <alignment horizontal="right" vertical="center"/>
    </xf>
    <xf borderId="14" fillId="5" fontId="7" numFmtId="0" xfId="0" applyAlignment="1" applyBorder="1" applyFont="1">
      <alignment horizontal="left" readingOrder="0" vertical="center"/>
    </xf>
    <xf borderId="14" fillId="5" fontId="7" numFmtId="9" xfId="0" applyAlignment="1" applyBorder="1" applyFont="1" applyNumberFormat="1">
      <alignment horizontal="center" readingOrder="0" vertical="center"/>
    </xf>
    <xf borderId="14" fillId="6" fontId="13" numFmtId="0" xfId="0" applyAlignment="1" applyBorder="1" applyFill="1" applyFont="1">
      <alignment horizontal="left" vertical="center"/>
    </xf>
    <xf borderId="14" fillId="6" fontId="13" numFmtId="0" xfId="0" applyAlignment="1" applyBorder="1" applyFont="1">
      <alignment horizontal="center" vertical="center"/>
    </xf>
    <xf borderId="14" fillId="6" fontId="7" numFmtId="9" xfId="0" applyAlignment="1" applyBorder="1" applyFont="1" applyNumberFormat="1">
      <alignment horizontal="center" vertical="center"/>
    </xf>
    <xf borderId="14" fillId="6" fontId="7" numFmtId="167" xfId="0" applyAlignment="1" applyBorder="1" applyFont="1" applyNumberFormat="1">
      <alignment horizontal="center" vertical="center"/>
    </xf>
    <xf borderId="14" fillId="7" fontId="7" numFmtId="0" xfId="0" applyAlignment="1" applyBorder="1" applyFill="1" applyFont="1">
      <alignment horizontal="left" vertical="center"/>
    </xf>
    <xf borderId="14" fillId="7" fontId="7" numFmtId="0" xfId="0" applyAlignment="1" applyBorder="1" applyFont="1">
      <alignment horizontal="center" vertical="center"/>
    </xf>
    <xf borderId="14" fillId="7" fontId="7" numFmtId="9" xfId="0" applyAlignment="1" applyBorder="1" applyFont="1" applyNumberFormat="1">
      <alignment horizontal="center" vertical="center"/>
    </xf>
    <xf borderId="14" fillId="7" fontId="7" numFmtId="167" xfId="0" applyAlignment="1" applyBorder="1" applyFont="1" applyNumberFormat="1">
      <alignment horizontal="center" readingOrder="0" vertical="center"/>
    </xf>
    <xf borderId="14" fillId="7" fontId="7" numFmtId="0" xfId="0" applyAlignment="1" applyBorder="1" applyFont="1">
      <alignment horizontal="left" readingOrder="0" vertical="center"/>
    </xf>
    <xf borderId="14" fillId="7" fontId="7" numFmtId="9" xfId="0" applyAlignment="1" applyBorder="1" applyFont="1" applyNumberFormat="1">
      <alignment horizontal="center" readingOrder="0" vertical="center"/>
    </xf>
    <xf borderId="14" fillId="8" fontId="13" numFmtId="0" xfId="0" applyAlignment="1" applyBorder="1" applyFill="1" applyFont="1">
      <alignment horizontal="left" vertical="center"/>
    </xf>
    <xf borderId="14" fillId="8" fontId="13" numFmtId="0" xfId="0" applyAlignment="1" applyBorder="1" applyFont="1">
      <alignment horizontal="center" vertical="center"/>
    </xf>
    <xf borderId="14" fillId="8" fontId="7" numFmtId="9" xfId="0" applyAlignment="1" applyBorder="1" applyFont="1" applyNumberFormat="1">
      <alignment horizontal="center" vertical="center"/>
    </xf>
    <xf borderId="14" fillId="8" fontId="7" numFmtId="167" xfId="0" applyAlignment="1" applyBorder="1" applyFont="1" applyNumberFormat="1">
      <alignment horizontal="center" vertical="center"/>
    </xf>
    <xf borderId="14" fillId="9" fontId="7" numFmtId="0" xfId="0" applyAlignment="1" applyBorder="1" applyFill="1" applyFont="1">
      <alignment horizontal="left" vertical="center"/>
    </xf>
    <xf borderId="14" fillId="9" fontId="7" numFmtId="0" xfId="0" applyAlignment="1" applyBorder="1" applyFont="1">
      <alignment horizontal="center" vertical="center"/>
    </xf>
    <xf borderId="14" fillId="9" fontId="7" numFmtId="9" xfId="0" applyAlignment="1" applyBorder="1" applyFont="1" applyNumberFormat="1">
      <alignment horizontal="center" vertical="center"/>
    </xf>
    <xf borderId="14" fillId="9" fontId="7" numFmtId="167" xfId="0" applyAlignment="1" applyBorder="1" applyFont="1" applyNumberFormat="1">
      <alignment horizontal="center" readingOrder="0" vertical="center"/>
    </xf>
    <xf borderId="14" fillId="9" fontId="7" numFmtId="0" xfId="0" applyAlignment="1" applyBorder="1" applyFont="1">
      <alignment horizontal="left" readingOrder="0" vertical="center"/>
    </xf>
    <xf borderId="14" fillId="9" fontId="7" numFmtId="9" xfId="0" applyAlignment="1" applyBorder="1" applyFont="1" applyNumberFormat="1">
      <alignment horizontal="center" readingOrder="0" vertical="center"/>
    </xf>
    <xf borderId="14" fillId="9" fontId="7" numFmtId="0" xfId="0" applyAlignment="1" applyBorder="1" applyFont="1">
      <alignment horizontal="center" readingOrder="0" vertical="center"/>
    </xf>
    <xf borderId="14" fillId="9" fontId="7" numFmtId="168" xfId="0" applyAlignment="1" applyBorder="1" applyFont="1" applyNumberFormat="1">
      <alignment horizontal="center" readingOrder="0" vertical="center"/>
    </xf>
    <xf borderId="14" fillId="10" fontId="13" numFmtId="0" xfId="0" applyAlignment="1" applyBorder="1" applyFill="1" applyFont="1">
      <alignment horizontal="left" vertical="center"/>
    </xf>
    <xf borderId="14" fillId="10" fontId="13" numFmtId="0" xfId="0" applyAlignment="1" applyBorder="1" applyFont="1">
      <alignment horizontal="center" vertical="center"/>
    </xf>
    <xf borderId="14" fillId="10" fontId="7" numFmtId="9" xfId="0" applyAlignment="1" applyBorder="1" applyFont="1" applyNumberFormat="1">
      <alignment horizontal="center" vertical="center"/>
    </xf>
    <xf borderId="14" fillId="10" fontId="7" numFmtId="167" xfId="0" applyAlignment="1" applyBorder="1" applyFont="1" applyNumberFormat="1">
      <alignment horizontal="center" vertical="center"/>
    </xf>
    <xf borderId="14" fillId="11" fontId="7" numFmtId="0" xfId="0" applyAlignment="1" applyBorder="1" applyFill="1" applyFont="1">
      <alignment horizontal="left" vertical="center"/>
    </xf>
    <xf borderId="14" fillId="11" fontId="7" numFmtId="0" xfId="0" applyAlignment="1" applyBorder="1" applyFont="1">
      <alignment horizontal="center" vertical="center"/>
    </xf>
    <xf borderId="14" fillId="11" fontId="7" numFmtId="9" xfId="0" applyAlignment="1" applyBorder="1" applyFont="1" applyNumberFormat="1">
      <alignment horizontal="center" vertical="center"/>
    </xf>
    <xf borderId="14" fillId="11" fontId="7" numFmtId="167" xfId="0" applyAlignment="1" applyBorder="1" applyFont="1" applyNumberFormat="1">
      <alignment horizontal="center" readingOrder="0" vertical="center"/>
    </xf>
    <xf borderId="14" fillId="11" fontId="7" numFmtId="168" xfId="0" applyAlignment="1" applyBorder="1" applyFont="1" applyNumberFormat="1">
      <alignment horizontal="center" readingOrder="0" vertical="center"/>
    </xf>
    <xf borderId="14" fillId="11" fontId="7" numFmtId="0" xfId="0" applyAlignment="1" applyBorder="1" applyFont="1">
      <alignment horizontal="left" readingOrder="0" vertical="center"/>
    </xf>
    <xf borderId="14" fillId="11" fontId="7" numFmtId="9" xfId="0" applyAlignment="1" applyBorder="1" applyFont="1" applyNumberFormat="1">
      <alignment horizontal="center" readingOrder="0" vertical="center"/>
    </xf>
    <xf borderId="14" fillId="12" fontId="13" numFmtId="0" xfId="0" applyAlignment="1" applyBorder="1" applyFill="1" applyFont="1">
      <alignment horizontal="left" vertical="center"/>
    </xf>
    <xf borderId="14" fillId="12" fontId="13" numFmtId="0" xfId="0" applyAlignment="1" applyBorder="1" applyFont="1">
      <alignment horizontal="center" vertical="center"/>
    </xf>
    <xf borderId="14" fillId="12" fontId="7" numFmtId="9" xfId="0" applyAlignment="1" applyBorder="1" applyFont="1" applyNumberFormat="1">
      <alignment horizontal="center" vertical="center"/>
    </xf>
    <xf borderId="14" fillId="12" fontId="7" numFmtId="167" xfId="0" applyAlignment="1" applyBorder="1" applyFont="1" applyNumberFormat="1">
      <alignment horizontal="center" vertical="center"/>
    </xf>
    <xf borderId="14" fillId="13" fontId="7" numFmtId="0" xfId="0" applyAlignment="1" applyBorder="1" applyFill="1" applyFont="1">
      <alignment horizontal="left" vertical="center"/>
    </xf>
    <xf borderId="14" fillId="13" fontId="7" numFmtId="0" xfId="0" applyAlignment="1" applyBorder="1" applyFont="1">
      <alignment horizontal="center" vertical="center"/>
    </xf>
    <xf borderId="14" fillId="13" fontId="7" numFmtId="9" xfId="0" applyAlignment="1" applyBorder="1" applyFont="1" applyNumberFormat="1">
      <alignment horizontal="center" vertical="center"/>
    </xf>
    <xf borderId="14" fillId="13" fontId="7" numFmtId="167" xfId="0" applyAlignment="1" applyBorder="1" applyFont="1" applyNumberFormat="1">
      <alignment horizontal="center" readingOrder="0" vertical="center"/>
    </xf>
    <xf borderId="12" fillId="13" fontId="7" numFmtId="0" xfId="0" applyAlignment="1" applyBorder="1" applyFont="1">
      <alignment horizontal="left" readingOrder="0" vertical="center"/>
    </xf>
    <xf borderId="12" fillId="13" fontId="7" numFmtId="0" xfId="0" applyAlignment="1" applyBorder="1" applyFont="1">
      <alignment horizontal="center" vertical="center"/>
    </xf>
    <xf borderId="12" fillId="13" fontId="7" numFmtId="9" xfId="0" applyAlignment="1" applyBorder="1" applyFont="1" applyNumberFormat="1">
      <alignment horizontal="center" readingOrder="0" vertical="center"/>
    </xf>
    <xf borderId="12" fillId="13" fontId="7" numFmtId="167" xfId="0" applyAlignment="1" applyBorder="1" applyFont="1" applyNumberFormat="1">
      <alignment horizontal="center" readingOrder="0" vertical="center"/>
    </xf>
    <xf borderId="14" fillId="14" fontId="14" numFmtId="0" xfId="0" applyAlignment="1" applyBorder="1" applyFill="1" applyFont="1">
      <alignment horizontal="left" vertical="center"/>
    </xf>
    <xf borderId="14" fillId="14" fontId="14" numFmtId="0" xfId="0" applyAlignment="1" applyBorder="1" applyFont="1">
      <alignment horizontal="center" vertical="center"/>
    </xf>
    <xf borderId="14" fillId="14" fontId="7" numFmtId="9" xfId="0" applyAlignment="1" applyBorder="1" applyFont="1" applyNumberFormat="1">
      <alignment horizontal="center" vertical="center"/>
    </xf>
    <xf borderId="14" fillId="14" fontId="4" numFmtId="167" xfId="0" applyAlignment="1" applyBorder="1" applyFont="1" applyNumberFormat="1">
      <alignment horizontal="left" vertical="center"/>
    </xf>
    <xf borderId="14" fillId="14" fontId="7" numFmtId="167" xfId="0" applyAlignment="1" applyBorder="1" applyFont="1" applyNumberFormat="1">
      <alignment horizontal="center" vertical="center"/>
    </xf>
    <xf borderId="14" fillId="14" fontId="7" numFmtId="0" xfId="0" applyAlignment="1" applyBorder="1" applyFont="1">
      <alignment horizontal="center" vertical="center"/>
    </xf>
    <xf borderId="13" fillId="14" fontId="7" numFmtId="0" xfId="0" applyAlignment="1" applyBorder="1" applyFont="1">
      <alignment vertical="center"/>
    </xf>
    <xf borderId="0" fillId="0" fontId="15" numFmtId="0" xfId="0" applyFont="1"/>
    <xf borderId="0" fillId="0" fontId="16" numFmtId="0" xfId="0" applyFont="1"/>
    <xf borderId="0" fillId="0" fontId="17" numFmtId="169" xfId="0" applyAlignment="1" applyFont="1" applyNumberFormat="1">
      <alignment horizontal="center"/>
    </xf>
    <xf borderId="0" fillId="0" fontId="18" numFmtId="0" xfId="0" applyFont="1"/>
    <xf borderId="0" fillId="0" fontId="19" numFmtId="0" xfId="0" applyFont="1"/>
    <xf borderId="0" fillId="0" fontId="20" numFmtId="0" xfId="0" applyFont="1"/>
    <xf borderId="0" fillId="0" fontId="3" numFmtId="0" xfId="0" applyAlignment="1" applyFont="1">
      <alignment vertical="top"/>
    </xf>
    <xf borderId="0" fillId="0" fontId="21" numFmtId="0" xfId="0" applyAlignment="1" applyFont="1">
      <alignment horizontal="left" vertical="center"/>
    </xf>
    <xf borderId="0" fillId="0" fontId="22" numFmtId="0" xfId="0" applyAlignment="1" applyFont="1">
      <alignment horizontal="left" vertical="center"/>
    </xf>
    <xf borderId="0" fillId="0" fontId="23" numFmtId="0" xfId="0" applyAlignment="1" applyFont="1">
      <alignment horizontal="left" vertical="center"/>
    </xf>
    <xf borderId="0" fillId="0" fontId="3" numFmtId="0" xfId="0" applyAlignment="1" applyFont="1">
      <alignment horizontal="left" vertical="center"/>
    </xf>
    <xf borderId="0" fillId="0" fontId="24" numFmtId="0" xfId="0" applyAlignment="1" applyFont="1">
      <alignment vertical="center"/>
    </xf>
    <xf borderId="0" fillId="0" fontId="25" numFmtId="0" xfId="0" applyAlignment="1" applyFont="1">
      <alignment vertical="center"/>
    </xf>
    <xf borderId="0" fillId="0" fontId="26" numFmtId="0" xfId="0" applyAlignment="1" applyFont="1">
      <alignment vertical="top"/>
    </xf>
    <xf borderId="0" fillId="0" fontId="27" numFmtId="0" xfId="0" applyFont="1"/>
    <xf borderId="0" fillId="0" fontId="28" numFmtId="0" xfId="0" applyAlignment="1" applyFont="1">
      <alignment vertical="center"/>
    </xf>
    <xf borderId="0" fillId="0" fontId="29" numFmtId="0" xfId="0" applyAlignment="1" applyFont="1">
      <alignment horizontal="left" shrinkToFit="0" vertical="top" wrapText="1"/>
    </xf>
    <xf borderId="0" fillId="0" fontId="29" numFmtId="0" xfId="0" applyAlignment="1" applyFont="1">
      <alignment shrinkToFit="0" vertical="top" wrapText="1"/>
    </xf>
    <xf borderId="0" fillId="0" fontId="30" numFmtId="0" xfId="0" applyAlignment="1" applyFont="1">
      <alignment horizontal="left"/>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95250</xdr:rowOff>
    </xdr:from>
    <xdr:ext cx="1905000" cy="4286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vertex42.com/ExcelTemplates/simple-gantt-chart.html?utm_source=v42&amp;utm_medium=file&amp;utm_campaign=templates&amp;utm_term=simple-gantt-chart_ms&amp;utm_content=title" TargetMode="External"/><Relationship Id="rId3" Type="http://schemas.openxmlformats.org/officeDocument/2006/relationships/hyperlink" Target="https://www.vertex42.com/ExcelTemplates/simple-gantt-chart.html?utm_source=v42&amp;utm_medium=file&amp;utm_campaign=templates&amp;utm_term=simple-gantt-chart_ms&amp;utm_content=url"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vertex42.com/ExcelTemplates/simple-gantt-chart.html?utm_source=v42&amp;utm_medium=file&amp;utm_campaign=templates&amp;utm_term=simple-gantt-chart_ms&amp;utm_content=title" TargetMode="External"/><Relationship Id="rId2" Type="http://schemas.openxmlformats.org/officeDocument/2006/relationships/hyperlink" Target="https://www.vertex42.com/ExcelTemplates/simple-gantt-chart.html?utm_source=v42&amp;utm_medium=file&amp;utm_campaign=templates&amp;utm_term=simple-gantt-chart_ms&amp;utm_content=url" TargetMode="External"/><Relationship Id="rId3" Type="http://schemas.openxmlformats.org/officeDocument/2006/relationships/hyperlink" Target="https://www.vertex42.com/ExcelTemplates/simple-gantt-chart.html?utm_source=v42&amp;utm_medium=file&amp;utm_campaign=templates&amp;utm_term=simple-gantt-chart_ms&amp;utm_content=help" TargetMode="External"/><Relationship Id="rId4" Type="http://schemas.openxmlformats.org/officeDocument/2006/relationships/hyperlink" Target="https://www.vertex42.com/ExcelTemplates/excel-project-management.html?utm_source=v42&amp;utm_medium=file&amp;utm_campaign=templates&amp;utm_term=simple-gantt-chart_ms&amp;utm_content=text" TargetMode="Externa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2.71"/>
    <col customWidth="1" min="2" max="2" width="69.14"/>
    <col customWidth="1" min="3" max="3" width="9.14"/>
    <col customWidth="1" min="4" max="4" width="10.71"/>
    <col customWidth="1" min="5" max="6" width="10.43"/>
    <col customWidth="1" min="7" max="7" width="2.71"/>
    <col customWidth="1" hidden="1" min="8" max="8" width="6.14"/>
    <col customWidth="1" min="9" max="134" width="3.71"/>
  </cols>
  <sheetData>
    <row r="1" ht="80.25" customHeight="1">
      <c r="B1" s="1" t="s">
        <v>0</v>
      </c>
      <c r="C1" s="2"/>
      <c r="D1" s="3"/>
      <c r="E1" s="4"/>
      <c r="F1" s="5"/>
      <c r="H1" s="3"/>
      <c r="I1" s="6"/>
      <c r="J1" s="7" t="str">
        <f>HYPERLINK("https://vertex42.link/HowToMakeAGanttChart","► Watch How to Make a Gantt Chart in Excel")</f>
        <v>► Watch How to Make a Gantt Chart in Excel</v>
      </c>
    </row>
    <row r="2" ht="19.5" customHeight="1">
      <c r="B2" s="8" t="s">
        <v>1</v>
      </c>
      <c r="D2" s="9" t="s">
        <v>2</v>
      </c>
      <c r="E2" s="10">
        <v>46086.0</v>
      </c>
      <c r="F2" s="11"/>
    </row>
    <row r="3" ht="19.5" customHeight="1">
      <c r="B3" s="8" t="s">
        <v>3</v>
      </c>
      <c r="D3" s="9" t="s">
        <v>4</v>
      </c>
      <c r="E3" s="10">
        <v>46332.0</v>
      </c>
      <c r="F3" s="11"/>
    </row>
    <row r="4" ht="19.5" customHeight="1">
      <c r="D4" s="9" t="s">
        <v>5</v>
      </c>
      <c r="E4" s="12">
        <v>1.0</v>
      </c>
      <c r="I4" s="13">
        <f>I5</f>
        <v>46083</v>
      </c>
      <c r="J4" s="14"/>
      <c r="K4" s="14"/>
      <c r="L4" s="14"/>
      <c r="M4" s="14"/>
      <c r="N4" s="14"/>
      <c r="O4" s="15"/>
      <c r="P4" s="13">
        <f>P5</f>
        <v>46090</v>
      </c>
      <c r="Q4" s="14"/>
      <c r="R4" s="14"/>
      <c r="S4" s="14"/>
      <c r="T4" s="14"/>
      <c r="U4" s="14"/>
      <c r="V4" s="15"/>
      <c r="W4" s="13">
        <f>W5</f>
        <v>46097</v>
      </c>
      <c r="X4" s="14"/>
      <c r="Y4" s="14"/>
      <c r="Z4" s="14"/>
      <c r="AA4" s="14"/>
      <c r="AB4" s="14"/>
      <c r="AC4" s="15"/>
      <c r="AD4" s="13">
        <f>AD5</f>
        <v>46104</v>
      </c>
      <c r="AE4" s="14"/>
      <c r="AF4" s="14"/>
      <c r="AG4" s="14"/>
      <c r="AH4" s="14"/>
      <c r="AI4" s="14"/>
      <c r="AJ4" s="15"/>
      <c r="AK4" s="13">
        <f>AK5</f>
        <v>46111</v>
      </c>
      <c r="AL4" s="14"/>
      <c r="AM4" s="14"/>
      <c r="AN4" s="14"/>
      <c r="AO4" s="14"/>
      <c r="AP4" s="14"/>
      <c r="AQ4" s="15"/>
      <c r="AR4" s="13">
        <f>AR5</f>
        <v>46118</v>
      </c>
      <c r="AS4" s="14"/>
      <c r="AT4" s="14"/>
      <c r="AU4" s="14"/>
      <c r="AV4" s="14"/>
      <c r="AW4" s="14"/>
      <c r="AX4" s="15"/>
      <c r="AY4" s="13">
        <f>AY5</f>
        <v>46125</v>
      </c>
      <c r="AZ4" s="14"/>
      <c r="BA4" s="14"/>
      <c r="BB4" s="14"/>
      <c r="BC4" s="14"/>
      <c r="BD4" s="14"/>
      <c r="BE4" s="15"/>
      <c r="BF4" s="13">
        <f>BF5</f>
        <v>46132</v>
      </c>
      <c r="BG4" s="14"/>
      <c r="BH4" s="14"/>
      <c r="BI4" s="14"/>
      <c r="BJ4" s="14"/>
      <c r="BK4" s="14"/>
      <c r="BL4" s="15"/>
      <c r="BM4" s="13">
        <f>BM5</f>
        <v>46139</v>
      </c>
      <c r="BN4" s="14"/>
      <c r="BO4" s="14"/>
      <c r="BP4" s="14"/>
      <c r="BQ4" s="14"/>
      <c r="BR4" s="14"/>
      <c r="BS4" s="15"/>
      <c r="BT4" s="13">
        <f>BT5</f>
        <v>46146</v>
      </c>
      <c r="BU4" s="14"/>
      <c r="BV4" s="14"/>
      <c r="BW4" s="14"/>
      <c r="BX4" s="14"/>
      <c r="BY4" s="14"/>
      <c r="BZ4" s="15"/>
      <c r="CA4" s="13">
        <f>CA5</f>
        <v>46153</v>
      </c>
      <c r="CB4" s="14"/>
      <c r="CC4" s="14"/>
      <c r="CD4" s="14"/>
      <c r="CE4" s="14"/>
      <c r="CF4" s="14"/>
      <c r="CG4" s="15"/>
      <c r="CH4" s="13">
        <f>CH5</f>
        <v>46160</v>
      </c>
      <c r="CI4" s="14"/>
      <c r="CJ4" s="14"/>
      <c r="CK4" s="14"/>
      <c r="CL4" s="14"/>
      <c r="CM4" s="14"/>
      <c r="CN4" s="15"/>
      <c r="CO4" s="13">
        <f>CO5</f>
        <v>46167</v>
      </c>
      <c r="CP4" s="14"/>
      <c r="CQ4" s="14"/>
      <c r="CR4" s="14"/>
      <c r="CS4" s="14"/>
      <c r="CT4" s="14"/>
      <c r="CU4" s="15"/>
      <c r="CV4" s="13">
        <f>CV5</f>
        <v>46174</v>
      </c>
      <c r="CW4" s="14"/>
      <c r="CX4" s="14"/>
      <c r="CY4" s="14"/>
      <c r="CZ4" s="14"/>
      <c r="DA4" s="14"/>
      <c r="DB4" s="15"/>
      <c r="DC4" s="13">
        <f>DC5</f>
        <v>46181</v>
      </c>
      <c r="DD4" s="14"/>
      <c r="DE4" s="14"/>
      <c r="DF4" s="14"/>
      <c r="DG4" s="14"/>
      <c r="DH4" s="14"/>
      <c r="DI4" s="15"/>
      <c r="DJ4" s="13">
        <f>DJ5</f>
        <v>46188</v>
      </c>
      <c r="DK4" s="14"/>
      <c r="DL4" s="14"/>
      <c r="DM4" s="14"/>
      <c r="DN4" s="14"/>
      <c r="DO4" s="14"/>
      <c r="DP4" s="15"/>
      <c r="DQ4" s="13">
        <f>DQ5</f>
        <v>46195</v>
      </c>
      <c r="DR4" s="14"/>
      <c r="DS4" s="14"/>
      <c r="DT4" s="14"/>
      <c r="DU4" s="14"/>
      <c r="DV4" s="14"/>
      <c r="DW4" s="15"/>
      <c r="DX4" s="13">
        <f>DX5</f>
        <v>46202</v>
      </c>
      <c r="DY4" s="14"/>
      <c r="DZ4" s="14"/>
      <c r="EA4" s="14"/>
      <c r="EB4" s="14"/>
      <c r="EC4" s="14"/>
      <c r="ED4" s="15"/>
    </row>
    <row r="5">
      <c r="A5" s="9"/>
      <c r="E5" s="16"/>
      <c r="G5" s="9"/>
      <c r="I5" s="17">
        <f>E2-WEEKDAY(E2,1)+2+7*(E4-1)</f>
        <v>46083</v>
      </c>
      <c r="J5" s="18">
        <f t="shared" ref="J5:ED5" si="1">I5+1</f>
        <v>46084</v>
      </c>
      <c r="K5" s="18">
        <f t="shared" si="1"/>
        <v>46085</v>
      </c>
      <c r="L5" s="18">
        <f t="shared" si="1"/>
        <v>46086</v>
      </c>
      <c r="M5" s="18">
        <f t="shared" si="1"/>
        <v>46087</v>
      </c>
      <c r="N5" s="18">
        <f t="shared" si="1"/>
        <v>46088</v>
      </c>
      <c r="O5" s="19">
        <f t="shared" si="1"/>
        <v>46089</v>
      </c>
      <c r="P5" s="17">
        <f t="shared" si="1"/>
        <v>46090</v>
      </c>
      <c r="Q5" s="18">
        <f t="shared" si="1"/>
        <v>46091</v>
      </c>
      <c r="R5" s="18">
        <f t="shared" si="1"/>
        <v>46092</v>
      </c>
      <c r="S5" s="18">
        <f t="shared" si="1"/>
        <v>46093</v>
      </c>
      <c r="T5" s="18">
        <f t="shared" si="1"/>
        <v>46094</v>
      </c>
      <c r="U5" s="18">
        <f t="shared" si="1"/>
        <v>46095</v>
      </c>
      <c r="V5" s="19">
        <f t="shared" si="1"/>
        <v>46096</v>
      </c>
      <c r="W5" s="17">
        <f t="shared" si="1"/>
        <v>46097</v>
      </c>
      <c r="X5" s="18">
        <f t="shared" si="1"/>
        <v>46098</v>
      </c>
      <c r="Y5" s="18">
        <f t="shared" si="1"/>
        <v>46099</v>
      </c>
      <c r="Z5" s="18">
        <f t="shared" si="1"/>
        <v>46100</v>
      </c>
      <c r="AA5" s="18">
        <f t="shared" si="1"/>
        <v>46101</v>
      </c>
      <c r="AB5" s="18">
        <f t="shared" si="1"/>
        <v>46102</v>
      </c>
      <c r="AC5" s="19">
        <f t="shared" si="1"/>
        <v>46103</v>
      </c>
      <c r="AD5" s="17">
        <f t="shared" si="1"/>
        <v>46104</v>
      </c>
      <c r="AE5" s="18">
        <f t="shared" si="1"/>
        <v>46105</v>
      </c>
      <c r="AF5" s="18">
        <f t="shared" si="1"/>
        <v>46106</v>
      </c>
      <c r="AG5" s="18">
        <f t="shared" si="1"/>
        <v>46107</v>
      </c>
      <c r="AH5" s="18">
        <f t="shared" si="1"/>
        <v>46108</v>
      </c>
      <c r="AI5" s="18">
        <f t="shared" si="1"/>
        <v>46109</v>
      </c>
      <c r="AJ5" s="19">
        <f t="shared" si="1"/>
        <v>46110</v>
      </c>
      <c r="AK5" s="17">
        <f t="shared" si="1"/>
        <v>46111</v>
      </c>
      <c r="AL5" s="18">
        <f t="shared" si="1"/>
        <v>46112</v>
      </c>
      <c r="AM5" s="18">
        <f t="shared" si="1"/>
        <v>46113</v>
      </c>
      <c r="AN5" s="18">
        <f t="shared" si="1"/>
        <v>46114</v>
      </c>
      <c r="AO5" s="18">
        <f t="shared" si="1"/>
        <v>46115</v>
      </c>
      <c r="AP5" s="18">
        <f t="shared" si="1"/>
        <v>46116</v>
      </c>
      <c r="AQ5" s="19">
        <f t="shared" si="1"/>
        <v>46117</v>
      </c>
      <c r="AR5" s="17">
        <f t="shared" si="1"/>
        <v>46118</v>
      </c>
      <c r="AS5" s="18">
        <f t="shared" si="1"/>
        <v>46119</v>
      </c>
      <c r="AT5" s="18">
        <f t="shared" si="1"/>
        <v>46120</v>
      </c>
      <c r="AU5" s="18">
        <f t="shared" si="1"/>
        <v>46121</v>
      </c>
      <c r="AV5" s="18">
        <f t="shared" si="1"/>
        <v>46122</v>
      </c>
      <c r="AW5" s="18">
        <f t="shared" si="1"/>
        <v>46123</v>
      </c>
      <c r="AX5" s="19">
        <f t="shared" si="1"/>
        <v>46124</v>
      </c>
      <c r="AY5" s="17">
        <f t="shared" si="1"/>
        <v>46125</v>
      </c>
      <c r="AZ5" s="18">
        <f t="shared" si="1"/>
        <v>46126</v>
      </c>
      <c r="BA5" s="18">
        <f t="shared" si="1"/>
        <v>46127</v>
      </c>
      <c r="BB5" s="18">
        <f t="shared" si="1"/>
        <v>46128</v>
      </c>
      <c r="BC5" s="18">
        <f t="shared" si="1"/>
        <v>46129</v>
      </c>
      <c r="BD5" s="18">
        <f t="shared" si="1"/>
        <v>46130</v>
      </c>
      <c r="BE5" s="19">
        <f t="shared" si="1"/>
        <v>46131</v>
      </c>
      <c r="BF5" s="17">
        <f t="shared" si="1"/>
        <v>46132</v>
      </c>
      <c r="BG5" s="18">
        <f t="shared" si="1"/>
        <v>46133</v>
      </c>
      <c r="BH5" s="18">
        <f t="shared" si="1"/>
        <v>46134</v>
      </c>
      <c r="BI5" s="18">
        <f t="shared" si="1"/>
        <v>46135</v>
      </c>
      <c r="BJ5" s="18">
        <f t="shared" si="1"/>
        <v>46136</v>
      </c>
      <c r="BK5" s="18">
        <f t="shared" si="1"/>
        <v>46137</v>
      </c>
      <c r="BL5" s="19">
        <f t="shared" si="1"/>
        <v>46138</v>
      </c>
      <c r="BM5" s="17">
        <f t="shared" si="1"/>
        <v>46139</v>
      </c>
      <c r="BN5" s="18">
        <f t="shared" si="1"/>
        <v>46140</v>
      </c>
      <c r="BO5" s="18">
        <f t="shared" si="1"/>
        <v>46141</v>
      </c>
      <c r="BP5" s="18">
        <f t="shared" si="1"/>
        <v>46142</v>
      </c>
      <c r="BQ5" s="18">
        <f t="shared" si="1"/>
        <v>46143</v>
      </c>
      <c r="BR5" s="18">
        <f t="shared" si="1"/>
        <v>46144</v>
      </c>
      <c r="BS5" s="19">
        <f t="shared" si="1"/>
        <v>46145</v>
      </c>
      <c r="BT5" s="17">
        <f t="shared" si="1"/>
        <v>46146</v>
      </c>
      <c r="BU5" s="18">
        <f t="shared" si="1"/>
        <v>46147</v>
      </c>
      <c r="BV5" s="18">
        <f t="shared" si="1"/>
        <v>46148</v>
      </c>
      <c r="BW5" s="18">
        <f t="shared" si="1"/>
        <v>46149</v>
      </c>
      <c r="BX5" s="18">
        <f t="shared" si="1"/>
        <v>46150</v>
      </c>
      <c r="BY5" s="18">
        <f t="shared" si="1"/>
        <v>46151</v>
      </c>
      <c r="BZ5" s="19">
        <f t="shared" si="1"/>
        <v>46152</v>
      </c>
      <c r="CA5" s="17">
        <f t="shared" si="1"/>
        <v>46153</v>
      </c>
      <c r="CB5" s="18">
        <f t="shared" si="1"/>
        <v>46154</v>
      </c>
      <c r="CC5" s="18">
        <f t="shared" si="1"/>
        <v>46155</v>
      </c>
      <c r="CD5" s="18">
        <f t="shared" si="1"/>
        <v>46156</v>
      </c>
      <c r="CE5" s="18">
        <f t="shared" si="1"/>
        <v>46157</v>
      </c>
      <c r="CF5" s="18">
        <f t="shared" si="1"/>
        <v>46158</v>
      </c>
      <c r="CG5" s="19">
        <f t="shared" si="1"/>
        <v>46159</v>
      </c>
      <c r="CH5" s="17">
        <f t="shared" si="1"/>
        <v>46160</v>
      </c>
      <c r="CI5" s="18">
        <f t="shared" si="1"/>
        <v>46161</v>
      </c>
      <c r="CJ5" s="18">
        <f t="shared" si="1"/>
        <v>46162</v>
      </c>
      <c r="CK5" s="18">
        <f t="shared" si="1"/>
        <v>46163</v>
      </c>
      <c r="CL5" s="18">
        <f t="shared" si="1"/>
        <v>46164</v>
      </c>
      <c r="CM5" s="18">
        <f t="shared" si="1"/>
        <v>46165</v>
      </c>
      <c r="CN5" s="19">
        <f t="shared" si="1"/>
        <v>46166</v>
      </c>
      <c r="CO5" s="17">
        <f t="shared" si="1"/>
        <v>46167</v>
      </c>
      <c r="CP5" s="18">
        <f t="shared" si="1"/>
        <v>46168</v>
      </c>
      <c r="CQ5" s="18">
        <f t="shared" si="1"/>
        <v>46169</v>
      </c>
      <c r="CR5" s="18">
        <f t="shared" si="1"/>
        <v>46170</v>
      </c>
      <c r="CS5" s="18">
        <f t="shared" si="1"/>
        <v>46171</v>
      </c>
      <c r="CT5" s="18">
        <f t="shared" si="1"/>
        <v>46172</v>
      </c>
      <c r="CU5" s="19">
        <f t="shared" si="1"/>
        <v>46173</v>
      </c>
      <c r="CV5" s="17">
        <f t="shared" si="1"/>
        <v>46174</v>
      </c>
      <c r="CW5" s="18">
        <f t="shared" si="1"/>
        <v>46175</v>
      </c>
      <c r="CX5" s="18">
        <f t="shared" si="1"/>
        <v>46176</v>
      </c>
      <c r="CY5" s="18">
        <f t="shared" si="1"/>
        <v>46177</v>
      </c>
      <c r="CZ5" s="18">
        <f t="shared" si="1"/>
        <v>46178</v>
      </c>
      <c r="DA5" s="18">
        <f t="shared" si="1"/>
        <v>46179</v>
      </c>
      <c r="DB5" s="19">
        <f t="shared" si="1"/>
        <v>46180</v>
      </c>
      <c r="DC5" s="17">
        <f t="shared" si="1"/>
        <v>46181</v>
      </c>
      <c r="DD5" s="18">
        <f t="shared" si="1"/>
        <v>46182</v>
      </c>
      <c r="DE5" s="18">
        <f t="shared" si="1"/>
        <v>46183</v>
      </c>
      <c r="DF5" s="18">
        <f t="shared" si="1"/>
        <v>46184</v>
      </c>
      <c r="DG5" s="18">
        <f t="shared" si="1"/>
        <v>46185</v>
      </c>
      <c r="DH5" s="18">
        <f t="shared" si="1"/>
        <v>46186</v>
      </c>
      <c r="DI5" s="19">
        <f t="shared" si="1"/>
        <v>46187</v>
      </c>
      <c r="DJ5" s="17">
        <f t="shared" si="1"/>
        <v>46188</v>
      </c>
      <c r="DK5" s="18">
        <f t="shared" si="1"/>
        <v>46189</v>
      </c>
      <c r="DL5" s="18">
        <f t="shared" si="1"/>
        <v>46190</v>
      </c>
      <c r="DM5" s="18">
        <f t="shared" si="1"/>
        <v>46191</v>
      </c>
      <c r="DN5" s="18">
        <f t="shared" si="1"/>
        <v>46192</v>
      </c>
      <c r="DO5" s="18">
        <f t="shared" si="1"/>
        <v>46193</v>
      </c>
      <c r="DP5" s="19">
        <f t="shared" si="1"/>
        <v>46194</v>
      </c>
      <c r="DQ5" s="17">
        <f t="shared" si="1"/>
        <v>46195</v>
      </c>
      <c r="DR5" s="18">
        <f t="shared" si="1"/>
        <v>46196</v>
      </c>
      <c r="DS5" s="18">
        <f t="shared" si="1"/>
        <v>46197</v>
      </c>
      <c r="DT5" s="18">
        <f t="shared" si="1"/>
        <v>46198</v>
      </c>
      <c r="DU5" s="18">
        <f t="shared" si="1"/>
        <v>46199</v>
      </c>
      <c r="DV5" s="18">
        <f t="shared" si="1"/>
        <v>46200</v>
      </c>
      <c r="DW5" s="19">
        <f t="shared" si="1"/>
        <v>46201</v>
      </c>
      <c r="DX5" s="17">
        <f t="shared" si="1"/>
        <v>46202</v>
      </c>
      <c r="DY5" s="18">
        <f t="shared" si="1"/>
        <v>46203</v>
      </c>
      <c r="DZ5" s="18">
        <f t="shared" si="1"/>
        <v>46204</v>
      </c>
      <c r="EA5" s="18">
        <f t="shared" si="1"/>
        <v>46205</v>
      </c>
      <c r="EB5" s="18">
        <f t="shared" si="1"/>
        <v>46206</v>
      </c>
      <c r="EC5" s="18">
        <f t="shared" si="1"/>
        <v>46207</v>
      </c>
      <c r="ED5" s="19">
        <f t="shared" si="1"/>
        <v>46208</v>
      </c>
    </row>
    <row r="6" ht="29.25" customHeight="1">
      <c r="A6" s="20"/>
      <c r="B6" s="21" t="s">
        <v>6</v>
      </c>
      <c r="C6" s="22" t="s">
        <v>7</v>
      </c>
      <c r="D6" s="22" t="s">
        <v>8</v>
      </c>
      <c r="E6" s="22" t="s">
        <v>9</v>
      </c>
      <c r="F6" s="22" t="s">
        <v>10</v>
      </c>
      <c r="G6" s="22"/>
      <c r="H6" s="22" t="s">
        <v>11</v>
      </c>
      <c r="I6" s="23" t="str">
        <f t="shared" ref="I6:ED6" si="2">LEFT(TEXT(I5,"ddd"),1)</f>
        <v>l</v>
      </c>
      <c r="J6" s="23" t="str">
        <f t="shared" si="2"/>
        <v>m</v>
      </c>
      <c r="K6" s="23" t="str">
        <f t="shared" si="2"/>
        <v>m</v>
      </c>
      <c r="L6" s="23" t="str">
        <f t="shared" si="2"/>
        <v>j</v>
      </c>
      <c r="M6" s="23" t="str">
        <f t="shared" si="2"/>
        <v>v</v>
      </c>
      <c r="N6" s="23" t="str">
        <f t="shared" si="2"/>
        <v>s</v>
      </c>
      <c r="O6" s="23" t="str">
        <f t="shared" si="2"/>
        <v>d</v>
      </c>
      <c r="P6" s="23" t="str">
        <f t="shared" si="2"/>
        <v>l</v>
      </c>
      <c r="Q6" s="23" t="str">
        <f t="shared" si="2"/>
        <v>m</v>
      </c>
      <c r="R6" s="23" t="str">
        <f t="shared" si="2"/>
        <v>m</v>
      </c>
      <c r="S6" s="23" t="str">
        <f t="shared" si="2"/>
        <v>j</v>
      </c>
      <c r="T6" s="23" t="str">
        <f t="shared" si="2"/>
        <v>v</v>
      </c>
      <c r="U6" s="23" t="str">
        <f t="shared" si="2"/>
        <v>s</v>
      </c>
      <c r="V6" s="23" t="str">
        <f t="shared" si="2"/>
        <v>d</v>
      </c>
      <c r="W6" s="23" t="str">
        <f t="shared" si="2"/>
        <v>l</v>
      </c>
      <c r="X6" s="23" t="str">
        <f t="shared" si="2"/>
        <v>m</v>
      </c>
      <c r="Y6" s="23" t="str">
        <f t="shared" si="2"/>
        <v>m</v>
      </c>
      <c r="Z6" s="23" t="str">
        <f t="shared" si="2"/>
        <v>j</v>
      </c>
      <c r="AA6" s="23" t="str">
        <f t="shared" si="2"/>
        <v>v</v>
      </c>
      <c r="AB6" s="23" t="str">
        <f t="shared" si="2"/>
        <v>s</v>
      </c>
      <c r="AC6" s="23" t="str">
        <f t="shared" si="2"/>
        <v>d</v>
      </c>
      <c r="AD6" s="23" t="str">
        <f t="shared" si="2"/>
        <v>l</v>
      </c>
      <c r="AE6" s="23" t="str">
        <f t="shared" si="2"/>
        <v>m</v>
      </c>
      <c r="AF6" s="23" t="str">
        <f t="shared" si="2"/>
        <v>m</v>
      </c>
      <c r="AG6" s="23" t="str">
        <f t="shared" si="2"/>
        <v>j</v>
      </c>
      <c r="AH6" s="23" t="str">
        <f t="shared" si="2"/>
        <v>v</v>
      </c>
      <c r="AI6" s="23" t="str">
        <f t="shared" si="2"/>
        <v>s</v>
      </c>
      <c r="AJ6" s="23" t="str">
        <f t="shared" si="2"/>
        <v>d</v>
      </c>
      <c r="AK6" s="23" t="str">
        <f t="shared" si="2"/>
        <v>l</v>
      </c>
      <c r="AL6" s="23" t="str">
        <f t="shared" si="2"/>
        <v>m</v>
      </c>
      <c r="AM6" s="23" t="str">
        <f t="shared" si="2"/>
        <v>m</v>
      </c>
      <c r="AN6" s="23" t="str">
        <f t="shared" si="2"/>
        <v>j</v>
      </c>
      <c r="AO6" s="23" t="str">
        <f t="shared" si="2"/>
        <v>v</v>
      </c>
      <c r="AP6" s="23" t="str">
        <f t="shared" si="2"/>
        <v>s</v>
      </c>
      <c r="AQ6" s="23" t="str">
        <f t="shared" si="2"/>
        <v>d</v>
      </c>
      <c r="AR6" s="23" t="str">
        <f t="shared" si="2"/>
        <v>l</v>
      </c>
      <c r="AS6" s="23" t="str">
        <f t="shared" si="2"/>
        <v>m</v>
      </c>
      <c r="AT6" s="23" t="str">
        <f t="shared" si="2"/>
        <v>m</v>
      </c>
      <c r="AU6" s="23" t="str">
        <f t="shared" si="2"/>
        <v>j</v>
      </c>
      <c r="AV6" s="23" t="str">
        <f t="shared" si="2"/>
        <v>v</v>
      </c>
      <c r="AW6" s="23" t="str">
        <f t="shared" si="2"/>
        <v>s</v>
      </c>
      <c r="AX6" s="23" t="str">
        <f t="shared" si="2"/>
        <v>d</v>
      </c>
      <c r="AY6" s="23" t="str">
        <f t="shared" si="2"/>
        <v>l</v>
      </c>
      <c r="AZ6" s="23" t="str">
        <f t="shared" si="2"/>
        <v>m</v>
      </c>
      <c r="BA6" s="23" t="str">
        <f t="shared" si="2"/>
        <v>m</v>
      </c>
      <c r="BB6" s="23" t="str">
        <f t="shared" si="2"/>
        <v>j</v>
      </c>
      <c r="BC6" s="23" t="str">
        <f t="shared" si="2"/>
        <v>v</v>
      </c>
      <c r="BD6" s="23" t="str">
        <f t="shared" si="2"/>
        <v>s</v>
      </c>
      <c r="BE6" s="23" t="str">
        <f t="shared" si="2"/>
        <v>d</v>
      </c>
      <c r="BF6" s="23" t="str">
        <f t="shared" si="2"/>
        <v>l</v>
      </c>
      <c r="BG6" s="23" t="str">
        <f t="shared" si="2"/>
        <v>m</v>
      </c>
      <c r="BH6" s="23" t="str">
        <f t="shared" si="2"/>
        <v>m</v>
      </c>
      <c r="BI6" s="23" t="str">
        <f t="shared" si="2"/>
        <v>j</v>
      </c>
      <c r="BJ6" s="23" t="str">
        <f t="shared" si="2"/>
        <v>v</v>
      </c>
      <c r="BK6" s="23" t="str">
        <f t="shared" si="2"/>
        <v>s</v>
      </c>
      <c r="BL6" s="23" t="str">
        <f t="shared" si="2"/>
        <v>d</v>
      </c>
      <c r="BM6" s="23" t="str">
        <f t="shared" si="2"/>
        <v>l</v>
      </c>
      <c r="BN6" s="23" t="str">
        <f t="shared" si="2"/>
        <v>m</v>
      </c>
      <c r="BO6" s="23" t="str">
        <f t="shared" si="2"/>
        <v>m</v>
      </c>
      <c r="BP6" s="23" t="str">
        <f t="shared" si="2"/>
        <v>j</v>
      </c>
      <c r="BQ6" s="23" t="str">
        <f t="shared" si="2"/>
        <v>v</v>
      </c>
      <c r="BR6" s="23" t="str">
        <f t="shared" si="2"/>
        <v>s</v>
      </c>
      <c r="BS6" s="23" t="str">
        <f t="shared" si="2"/>
        <v>d</v>
      </c>
      <c r="BT6" s="23" t="str">
        <f t="shared" si="2"/>
        <v>l</v>
      </c>
      <c r="BU6" s="23" t="str">
        <f t="shared" si="2"/>
        <v>m</v>
      </c>
      <c r="BV6" s="23" t="str">
        <f t="shared" si="2"/>
        <v>m</v>
      </c>
      <c r="BW6" s="23" t="str">
        <f t="shared" si="2"/>
        <v>j</v>
      </c>
      <c r="BX6" s="23" t="str">
        <f t="shared" si="2"/>
        <v>v</v>
      </c>
      <c r="BY6" s="23" t="str">
        <f t="shared" si="2"/>
        <v>s</v>
      </c>
      <c r="BZ6" s="23" t="str">
        <f t="shared" si="2"/>
        <v>d</v>
      </c>
      <c r="CA6" s="23" t="str">
        <f t="shared" si="2"/>
        <v>l</v>
      </c>
      <c r="CB6" s="23" t="str">
        <f t="shared" si="2"/>
        <v>m</v>
      </c>
      <c r="CC6" s="23" t="str">
        <f t="shared" si="2"/>
        <v>m</v>
      </c>
      <c r="CD6" s="23" t="str">
        <f t="shared" si="2"/>
        <v>j</v>
      </c>
      <c r="CE6" s="23" t="str">
        <f t="shared" si="2"/>
        <v>v</v>
      </c>
      <c r="CF6" s="23" t="str">
        <f t="shared" si="2"/>
        <v>s</v>
      </c>
      <c r="CG6" s="23" t="str">
        <f t="shared" si="2"/>
        <v>d</v>
      </c>
      <c r="CH6" s="23" t="str">
        <f t="shared" si="2"/>
        <v>l</v>
      </c>
      <c r="CI6" s="23" t="str">
        <f t="shared" si="2"/>
        <v>m</v>
      </c>
      <c r="CJ6" s="23" t="str">
        <f t="shared" si="2"/>
        <v>m</v>
      </c>
      <c r="CK6" s="23" t="str">
        <f t="shared" si="2"/>
        <v>j</v>
      </c>
      <c r="CL6" s="23" t="str">
        <f t="shared" si="2"/>
        <v>v</v>
      </c>
      <c r="CM6" s="23" t="str">
        <f t="shared" si="2"/>
        <v>s</v>
      </c>
      <c r="CN6" s="23" t="str">
        <f t="shared" si="2"/>
        <v>d</v>
      </c>
      <c r="CO6" s="23" t="str">
        <f t="shared" si="2"/>
        <v>l</v>
      </c>
      <c r="CP6" s="23" t="str">
        <f t="shared" si="2"/>
        <v>m</v>
      </c>
      <c r="CQ6" s="23" t="str">
        <f t="shared" si="2"/>
        <v>m</v>
      </c>
      <c r="CR6" s="23" t="str">
        <f t="shared" si="2"/>
        <v>j</v>
      </c>
      <c r="CS6" s="23" t="str">
        <f t="shared" si="2"/>
        <v>v</v>
      </c>
      <c r="CT6" s="23" t="str">
        <f t="shared" si="2"/>
        <v>s</v>
      </c>
      <c r="CU6" s="23" t="str">
        <f t="shared" si="2"/>
        <v>d</v>
      </c>
      <c r="CV6" s="23" t="str">
        <f t="shared" si="2"/>
        <v>l</v>
      </c>
      <c r="CW6" s="23" t="str">
        <f t="shared" si="2"/>
        <v>m</v>
      </c>
      <c r="CX6" s="23" t="str">
        <f t="shared" si="2"/>
        <v>m</v>
      </c>
      <c r="CY6" s="23" t="str">
        <f t="shared" si="2"/>
        <v>j</v>
      </c>
      <c r="CZ6" s="23" t="str">
        <f t="shared" si="2"/>
        <v>v</v>
      </c>
      <c r="DA6" s="23" t="str">
        <f t="shared" si="2"/>
        <v>s</v>
      </c>
      <c r="DB6" s="23" t="str">
        <f t="shared" si="2"/>
        <v>d</v>
      </c>
      <c r="DC6" s="23" t="str">
        <f t="shared" si="2"/>
        <v>l</v>
      </c>
      <c r="DD6" s="23" t="str">
        <f t="shared" si="2"/>
        <v>m</v>
      </c>
      <c r="DE6" s="23" t="str">
        <f t="shared" si="2"/>
        <v>m</v>
      </c>
      <c r="DF6" s="23" t="str">
        <f t="shared" si="2"/>
        <v>j</v>
      </c>
      <c r="DG6" s="23" t="str">
        <f t="shared" si="2"/>
        <v>v</v>
      </c>
      <c r="DH6" s="23" t="str">
        <f t="shared" si="2"/>
        <v>s</v>
      </c>
      <c r="DI6" s="23" t="str">
        <f t="shared" si="2"/>
        <v>d</v>
      </c>
      <c r="DJ6" s="23" t="str">
        <f t="shared" si="2"/>
        <v>l</v>
      </c>
      <c r="DK6" s="23" t="str">
        <f t="shared" si="2"/>
        <v>m</v>
      </c>
      <c r="DL6" s="23" t="str">
        <f t="shared" si="2"/>
        <v>m</v>
      </c>
      <c r="DM6" s="23" t="str">
        <f t="shared" si="2"/>
        <v>j</v>
      </c>
      <c r="DN6" s="23" t="str">
        <f t="shared" si="2"/>
        <v>v</v>
      </c>
      <c r="DO6" s="23" t="str">
        <f t="shared" si="2"/>
        <v>s</v>
      </c>
      <c r="DP6" s="23" t="str">
        <f t="shared" si="2"/>
        <v>d</v>
      </c>
      <c r="DQ6" s="23" t="str">
        <f t="shared" si="2"/>
        <v>l</v>
      </c>
      <c r="DR6" s="23" t="str">
        <f t="shared" si="2"/>
        <v>m</v>
      </c>
      <c r="DS6" s="23" t="str">
        <f t="shared" si="2"/>
        <v>m</v>
      </c>
      <c r="DT6" s="23" t="str">
        <f t="shared" si="2"/>
        <v>j</v>
      </c>
      <c r="DU6" s="23" t="str">
        <f t="shared" si="2"/>
        <v>v</v>
      </c>
      <c r="DV6" s="23" t="str">
        <f t="shared" si="2"/>
        <v>s</v>
      </c>
      <c r="DW6" s="23" t="str">
        <f t="shared" si="2"/>
        <v>d</v>
      </c>
      <c r="DX6" s="23" t="str">
        <f t="shared" si="2"/>
        <v>l</v>
      </c>
      <c r="DY6" s="23" t="str">
        <f t="shared" si="2"/>
        <v>m</v>
      </c>
      <c r="DZ6" s="23" t="str">
        <f t="shared" si="2"/>
        <v>m</v>
      </c>
      <c r="EA6" s="23" t="str">
        <f t="shared" si="2"/>
        <v>j</v>
      </c>
      <c r="EB6" s="23" t="str">
        <f t="shared" si="2"/>
        <v>v</v>
      </c>
      <c r="EC6" s="23" t="str">
        <f t="shared" si="2"/>
        <v>s</v>
      </c>
      <c r="ED6" s="23" t="str">
        <f t="shared" si="2"/>
        <v>d</v>
      </c>
    </row>
    <row r="7">
      <c r="A7" s="20"/>
      <c r="B7" s="24"/>
      <c r="C7" s="25"/>
      <c r="D7" s="26"/>
      <c r="E7" s="27"/>
      <c r="F7" s="27"/>
      <c r="G7" s="25"/>
      <c r="H7" s="25" t="str">
        <f>IF(OR(ISBLANK(ProjectSchedule!task_start),ISBLANK(ProjectSchedule!task_end)),"",ProjectSchedule!task_end-ProjectSchedule!task_start+1)</f>
        <v/>
      </c>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c r="CH7" s="28"/>
      <c r="CI7" s="28"/>
      <c r="CJ7" s="28"/>
      <c r="CK7" s="28"/>
      <c r="CL7" s="28"/>
      <c r="CM7" s="28"/>
      <c r="CN7" s="28"/>
      <c r="CO7" s="28"/>
      <c r="CP7" s="28"/>
      <c r="CQ7" s="28"/>
      <c r="CR7" s="28"/>
      <c r="CS7" s="28"/>
      <c r="CT7" s="28"/>
      <c r="CU7" s="28"/>
      <c r="CV7" s="28"/>
      <c r="CW7" s="28"/>
      <c r="CX7" s="28"/>
      <c r="CY7" s="28"/>
      <c r="CZ7" s="28"/>
      <c r="DA7" s="28"/>
      <c r="DB7" s="28"/>
      <c r="DC7" s="28"/>
      <c r="DD7" s="28"/>
      <c r="DE7" s="28"/>
      <c r="DF7" s="28"/>
      <c r="DG7" s="28"/>
      <c r="DH7" s="28"/>
      <c r="DI7" s="28"/>
      <c r="DJ7" s="28"/>
      <c r="DK7" s="28"/>
      <c r="DL7" s="28"/>
      <c r="DM7" s="28"/>
      <c r="DN7" s="28"/>
      <c r="DO7" s="28"/>
      <c r="DP7" s="28"/>
      <c r="DQ7" s="28"/>
      <c r="DR7" s="28"/>
      <c r="DS7" s="28"/>
      <c r="DT7" s="28"/>
      <c r="DU7" s="28"/>
      <c r="DV7" s="28"/>
      <c r="DW7" s="28"/>
      <c r="DX7" s="28"/>
      <c r="DY7" s="28"/>
      <c r="DZ7" s="28"/>
      <c r="EA7" s="28"/>
      <c r="EB7" s="28"/>
      <c r="EC7" s="28"/>
      <c r="ED7" s="28"/>
    </row>
    <row r="8">
      <c r="A8" s="20"/>
      <c r="B8" s="29" t="s">
        <v>12</v>
      </c>
      <c r="C8" s="30"/>
      <c r="D8" s="31"/>
      <c r="E8" s="32"/>
      <c r="F8" s="32"/>
      <c r="G8" s="25"/>
      <c r="H8" s="25" t="str">
        <f>IF(OR(ISBLANK(ProjectSchedule!task_start),ISBLANK(ProjectSchedule!task_end)),"",ProjectSchedule!task_end-ProjectSchedule!task_start+1)</f>
        <v/>
      </c>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8"/>
      <c r="CR8" s="28"/>
      <c r="CS8" s="28"/>
      <c r="CT8" s="28"/>
      <c r="CU8" s="28"/>
      <c r="CV8" s="28"/>
      <c r="CW8" s="28"/>
      <c r="CX8" s="28"/>
      <c r="CY8" s="28"/>
      <c r="CZ8" s="28"/>
      <c r="DA8" s="28"/>
      <c r="DB8" s="28"/>
      <c r="DC8" s="28"/>
      <c r="DD8" s="28"/>
      <c r="DE8" s="28"/>
      <c r="DF8" s="28"/>
      <c r="DG8" s="28"/>
      <c r="DH8" s="28"/>
      <c r="DI8" s="28"/>
      <c r="DJ8" s="28"/>
      <c r="DK8" s="28"/>
      <c r="DL8" s="28"/>
      <c r="DM8" s="28"/>
      <c r="DN8" s="28"/>
      <c r="DO8" s="28"/>
      <c r="DP8" s="28"/>
      <c r="DQ8" s="28"/>
      <c r="DR8" s="28"/>
      <c r="DS8" s="28"/>
      <c r="DT8" s="28"/>
      <c r="DU8" s="28"/>
      <c r="DV8" s="28"/>
      <c r="DW8" s="28"/>
      <c r="DX8" s="28"/>
      <c r="DY8" s="28"/>
      <c r="DZ8" s="28"/>
      <c r="EA8" s="28"/>
      <c r="EB8" s="28"/>
      <c r="EC8" s="28"/>
      <c r="ED8" s="28"/>
    </row>
    <row r="9">
      <c r="A9" s="20"/>
      <c r="B9" s="33" t="s">
        <v>13</v>
      </c>
      <c r="C9" s="34"/>
      <c r="D9" s="35">
        <v>1.0</v>
      </c>
      <c r="E9" s="36">
        <v>46086.0</v>
      </c>
      <c r="F9" s="36">
        <v>46087.0</v>
      </c>
      <c r="G9" s="25"/>
      <c r="H9" s="25" t="str">
        <f>IF(OR(ISBLANK(ProjectSchedule!task_start),ISBLANK(ProjectSchedule!task_end)),"",ProjectSchedule!task_end-ProjectSchedule!task_start+1)</f>
        <v/>
      </c>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28"/>
      <c r="CR9" s="28"/>
      <c r="CS9" s="28"/>
      <c r="CT9" s="28"/>
      <c r="CU9" s="28"/>
      <c r="CV9" s="28"/>
      <c r="CW9" s="28"/>
      <c r="CX9" s="28"/>
      <c r="CY9" s="28"/>
      <c r="CZ9" s="28"/>
      <c r="DA9" s="28"/>
      <c r="DB9" s="28"/>
      <c r="DC9" s="28"/>
      <c r="DD9" s="28"/>
      <c r="DE9" s="28"/>
      <c r="DF9" s="28"/>
      <c r="DG9" s="28"/>
      <c r="DH9" s="28"/>
      <c r="DI9" s="28"/>
      <c r="DJ9" s="28"/>
      <c r="DK9" s="28"/>
      <c r="DL9" s="28"/>
      <c r="DM9" s="28"/>
      <c r="DN9" s="28"/>
      <c r="DO9" s="28"/>
      <c r="DP9" s="28"/>
      <c r="DQ9" s="28"/>
      <c r="DR9" s="28"/>
      <c r="DS9" s="28"/>
      <c r="DT9" s="28"/>
      <c r="DU9" s="28"/>
      <c r="DV9" s="28"/>
      <c r="DW9" s="28"/>
      <c r="DX9" s="28"/>
      <c r="DY9" s="28"/>
      <c r="DZ9" s="28"/>
      <c r="EA9" s="28"/>
      <c r="EB9" s="28"/>
      <c r="EC9" s="28"/>
      <c r="ED9" s="28"/>
    </row>
    <row r="10">
      <c r="A10" s="20"/>
      <c r="B10" s="33" t="s">
        <v>14</v>
      </c>
      <c r="C10" s="34"/>
      <c r="D10" s="35">
        <v>1.0</v>
      </c>
      <c r="E10" s="36">
        <v>46090.0</v>
      </c>
      <c r="F10" s="36">
        <v>46094.0</v>
      </c>
      <c r="G10" s="25"/>
      <c r="H10" s="25" t="str">
        <f>IF(OR(ISBLANK(ProjectSchedule!task_start),ISBLANK(ProjectSchedule!task_end)),"",ProjectSchedule!task_end-ProjectSchedule!task_start+1)</f>
        <v/>
      </c>
      <c r="I10" s="28"/>
      <c r="J10" s="28"/>
      <c r="K10" s="28"/>
      <c r="L10" s="28"/>
      <c r="M10" s="28"/>
      <c r="N10" s="28"/>
      <c r="O10" s="28"/>
      <c r="P10" s="28"/>
      <c r="Q10" s="28"/>
      <c r="R10" s="28"/>
      <c r="S10" s="28"/>
      <c r="T10" s="28"/>
      <c r="U10" s="37"/>
      <c r="V10" s="37"/>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row>
    <row r="11">
      <c r="A11" s="20"/>
      <c r="B11" s="33" t="s">
        <v>15</v>
      </c>
      <c r="C11" s="34"/>
      <c r="D11" s="35">
        <v>1.0</v>
      </c>
      <c r="E11" s="36">
        <v>46097.0</v>
      </c>
      <c r="F11" s="36">
        <v>46101.0</v>
      </c>
      <c r="G11" s="25"/>
      <c r="H11" s="25" t="str">
        <f>IF(OR(ISBLANK(ProjectSchedule!task_start),ISBLANK(ProjectSchedule!task_end)),"",ProjectSchedule!task_end-ProjectSchedule!task_start+1)</f>
        <v/>
      </c>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row>
    <row r="12">
      <c r="A12" s="20"/>
      <c r="B12" s="33" t="s">
        <v>16</v>
      </c>
      <c r="C12" s="34"/>
      <c r="D12" s="35">
        <v>1.0</v>
      </c>
      <c r="E12" s="36">
        <v>46104.0</v>
      </c>
      <c r="F12" s="36">
        <v>46105.0</v>
      </c>
      <c r="G12" s="25"/>
      <c r="H12" s="25" t="str">
        <f>IF(OR(ISBLANK(ProjectSchedule!task_start),ISBLANK(ProjectSchedule!task_end)),"",ProjectSchedule!task_end-ProjectSchedule!task_start+1)</f>
        <v/>
      </c>
      <c r="I12" s="28"/>
      <c r="J12" s="28"/>
      <c r="K12" s="28"/>
      <c r="L12" s="28"/>
      <c r="M12" s="28"/>
      <c r="N12" s="28"/>
      <c r="O12" s="28"/>
      <c r="P12" s="28"/>
      <c r="Q12" s="28"/>
      <c r="R12" s="28"/>
      <c r="S12" s="28"/>
      <c r="T12" s="28"/>
      <c r="U12" s="28"/>
      <c r="V12" s="28"/>
      <c r="W12" s="28"/>
      <c r="X12" s="28"/>
      <c r="Y12" s="37"/>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row>
    <row r="13">
      <c r="A13" s="20"/>
      <c r="B13" s="38" t="s">
        <v>17</v>
      </c>
      <c r="C13" s="34"/>
      <c r="D13" s="39">
        <v>1.0</v>
      </c>
      <c r="E13" s="36">
        <v>46106.0</v>
      </c>
      <c r="F13" s="36">
        <v>46112.0</v>
      </c>
      <c r="G13" s="25"/>
      <c r="H13" s="25"/>
      <c r="I13" s="28"/>
      <c r="J13" s="28"/>
      <c r="K13" s="28"/>
      <c r="L13" s="28"/>
      <c r="M13" s="28"/>
      <c r="N13" s="28"/>
      <c r="O13" s="28"/>
      <c r="P13" s="28"/>
      <c r="Q13" s="28"/>
      <c r="R13" s="28"/>
      <c r="S13" s="28"/>
      <c r="T13" s="28"/>
      <c r="U13" s="28"/>
      <c r="V13" s="28"/>
      <c r="W13" s="28"/>
      <c r="X13" s="28"/>
      <c r="Y13" s="37"/>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row>
    <row r="14">
      <c r="A14" s="20"/>
      <c r="B14" s="40" t="s">
        <v>18</v>
      </c>
      <c r="C14" s="41"/>
      <c r="D14" s="42"/>
      <c r="E14" s="43"/>
      <c r="F14" s="43"/>
      <c r="G14" s="25"/>
      <c r="H14" s="25" t="str">
        <f>IF(OR(ISBLANK(ProjectSchedule!task_start),ISBLANK(ProjectSchedule!task_end)),"",ProjectSchedule!task_end-ProjectSchedule!task_start+1)</f>
        <v/>
      </c>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row>
    <row r="15">
      <c r="A15" s="20"/>
      <c r="B15" s="44" t="s">
        <v>19</v>
      </c>
      <c r="C15" s="45"/>
      <c r="D15" s="46">
        <v>1.0</v>
      </c>
      <c r="E15" s="47">
        <v>46113.0</v>
      </c>
      <c r="F15" s="47">
        <v>46119.0</v>
      </c>
      <c r="G15" s="25"/>
      <c r="H15" s="25" t="str">
        <f>IF(OR(ISBLANK(ProjectSchedule!task_start),ISBLANK(ProjectSchedule!task_end)),"",ProjectSchedule!task_end-ProjectSchedule!task_start+1)</f>
        <v/>
      </c>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row>
    <row r="16">
      <c r="A16" s="20"/>
      <c r="B16" s="44" t="s">
        <v>20</v>
      </c>
      <c r="C16" s="45"/>
      <c r="D16" s="46">
        <v>1.0</v>
      </c>
      <c r="E16" s="47">
        <v>46113.0</v>
      </c>
      <c r="F16" s="47">
        <v>46118.0</v>
      </c>
      <c r="G16" s="25"/>
      <c r="H16" s="25" t="str">
        <f>IF(OR(ISBLANK(ProjectSchedule!task_start),ISBLANK(ProjectSchedule!task_end)),"",ProjectSchedule!task_end-ProjectSchedule!task_start+1)</f>
        <v/>
      </c>
      <c r="I16" s="28"/>
      <c r="J16" s="28"/>
      <c r="K16" s="28"/>
      <c r="L16" s="28"/>
      <c r="M16" s="28"/>
      <c r="N16" s="28"/>
      <c r="O16" s="28"/>
      <c r="P16" s="28"/>
      <c r="Q16" s="28"/>
      <c r="R16" s="28"/>
      <c r="S16" s="28"/>
      <c r="T16" s="28"/>
      <c r="U16" s="37"/>
      <c r="V16" s="37"/>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row>
    <row r="17">
      <c r="A17" s="20"/>
      <c r="B17" s="44" t="s">
        <v>21</v>
      </c>
      <c r="C17" s="45"/>
      <c r="D17" s="46">
        <v>0.75</v>
      </c>
      <c r="E17" s="47">
        <v>46120.0</v>
      </c>
      <c r="F17" s="47">
        <v>46126.0</v>
      </c>
      <c r="G17" s="25"/>
      <c r="H17" s="25" t="str">
        <f>IF(OR(ISBLANK(ProjectSchedule!task_start),ISBLANK(ProjectSchedule!task_end)),"",ProjectSchedule!task_end-ProjectSchedule!task_start+1)</f>
        <v/>
      </c>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row>
    <row r="18">
      <c r="A18" s="20"/>
      <c r="B18" s="44" t="s">
        <v>22</v>
      </c>
      <c r="C18" s="45"/>
      <c r="D18" s="46">
        <v>0.75</v>
      </c>
      <c r="E18" s="47">
        <v>46121.0</v>
      </c>
      <c r="F18" s="47">
        <v>46126.0</v>
      </c>
      <c r="G18" s="25"/>
      <c r="H18" s="25" t="str">
        <f>IF(OR(ISBLANK(ProjectSchedule!task_start),ISBLANK(ProjectSchedule!task_end)),"",ProjectSchedule!task_end-ProjectSchedule!task_start+1)</f>
        <v/>
      </c>
      <c r="I18" s="28"/>
      <c r="J18" s="28"/>
      <c r="K18" s="28"/>
      <c r="L18" s="28"/>
      <c r="M18" s="28"/>
      <c r="N18" s="28"/>
      <c r="O18" s="28"/>
      <c r="P18" s="28"/>
      <c r="Q18" s="28"/>
      <c r="R18" s="28"/>
      <c r="S18" s="28"/>
      <c r="T18" s="28"/>
      <c r="U18" s="28"/>
      <c r="V18" s="28"/>
      <c r="W18" s="28"/>
      <c r="X18" s="28"/>
      <c r="Y18" s="37"/>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row>
    <row r="19">
      <c r="A19" s="20"/>
      <c r="B19" s="48" t="s">
        <v>23</v>
      </c>
      <c r="C19" s="45"/>
      <c r="D19" s="49">
        <v>1.0</v>
      </c>
      <c r="E19" s="47">
        <v>46127.0</v>
      </c>
      <c r="F19" s="47">
        <v>46133.0</v>
      </c>
      <c r="G19" s="25"/>
      <c r="H19" s="25"/>
      <c r="I19" s="28"/>
      <c r="J19" s="28"/>
      <c r="K19" s="28"/>
      <c r="L19" s="28"/>
      <c r="M19" s="28"/>
      <c r="N19" s="28"/>
      <c r="O19" s="28"/>
      <c r="P19" s="28"/>
      <c r="Q19" s="28"/>
      <c r="R19" s="28"/>
      <c r="S19" s="28"/>
      <c r="T19" s="28"/>
      <c r="U19" s="28"/>
      <c r="V19" s="28"/>
      <c r="W19" s="28"/>
      <c r="X19" s="28"/>
      <c r="Y19" s="37"/>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row>
    <row r="20">
      <c r="A20" s="20"/>
      <c r="B20" s="50" t="s">
        <v>24</v>
      </c>
      <c r="C20" s="51"/>
      <c r="D20" s="52"/>
      <c r="E20" s="53"/>
      <c r="F20" s="53"/>
      <c r="G20" s="25"/>
      <c r="H20" s="25" t="str">
        <f>IF(OR(ISBLANK(ProjectSchedule!task_start),ISBLANK(ProjectSchedule!task_end)),"",ProjectSchedule!task_end-ProjectSchedule!task_start+1)</f>
        <v/>
      </c>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row>
    <row r="21">
      <c r="A21" s="20"/>
      <c r="B21" s="54" t="s">
        <v>25</v>
      </c>
      <c r="C21" s="55"/>
      <c r="D21" s="56">
        <v>1.0</v>
      </c>
      <c r="E21" s="57">
        <v>46134.0</v>
      </c>
      <c r="F21" s="57">
        <v>46148.0</v>
      </c>
      <c r="G21" s="25"/>
      <c r="H21" s="25" t="str">
        <f>IF(OR(ISBLANK(ProjectSchedule!task_start),ISBLANK(ProjectSchedule!task_end)),"",ProjectSchedule!task_end-ProjectSchedule!task_start+1)</f>
        <v/>
      </c>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row>
    <row r="22">
      <c r="A22" s="20"/>
      <c r="B22" s="58" t="s">
        <v>26</v>
      </c>
      <c r="C22" s="55"/>
      <c r="D22" s="59">
        <v>1.0</v>
      </c>
      <c r="E22" s="57">
        <v>46149.0</v>
      </c>
      <c r="F22" s="57">
        <v>46211.0</v>
      </c>
      <c r="G22" s="25"/>
      <c r="H22" s="25"/>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row>
    <row r="23">
      <c r="A23" s="20"/>
      <c r="B23" s="54" t="s">
        <v>27</v>
      </c>
      <c r="C23" s="55"/>
      <c r="D23" s="56">
        <v>1.0</v>
      </c>
      <c r="E23" s="57">
        <v>46153.0</v>
      </c>
      <c r="F23" s="57">
        <v>46163.0</v>
      </c>
      <c r="G23" s="25"/>
      <c r="H23" s="25" t="str">
        <f>IF(OR(ISBLANK(ProjectSchedule!task_start),ISBLANK(ProjectSchedule!task_end)),"",ProjectSchedule!task_end-ProjectSchedule!task_start+1)</f>
        <v/>
      </c>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row>
    <row r="24">
      <c r="A24" s="20"/>
      <c r="B24" s="58" t="s">
        <v>28</v>
      </c>
      <c r="C24" s="55"/>
      <c r="D24" s="59">
        <v>1.0</v>
      </c>
      <c r="E24" s="57">
        <v>46164.0</v>
      </c>
      <c r="F24" s="57">
        <v>46167.0</v>
      </c>
      <c r="G24" s="25"/>
      <c r="H24" s="25"/>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row>
    <row r="25" ht="15.75" customHeight="1">
      <c r="A25" s="20"/>
      <c r="B25" s="54" t="s">
        <v>29</v>
      </c>
      <c r="C25" s="55"/>
      <c r="D25" s="56">
        <v>0.75</v>
      </c>
      <c r="E25" s="57">
        <v>46193.0</v>
      </c>
      <c r="F25" s="57">
        <v>46178.0</v>
      </c>
      <c r="G25" s="25"/>
      <c r="H25" s="25" t="str">
        <f>IF(OR(ISBLANK(ProjectSchedule!task_start),ISBLANK(ProjectSchedule!task_end)),"",ProjectSchedule!task_end-ProjectSchedule!task_start+1)</f>
        <v/>
      </c>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row>
    <row r="26" ht="15.75" customHeight="1">
      <c r="A26" s="20"/>
      <c r="B26" s="58" t="s">
        <v>30</v>
      </c>
      <c r="C26" s="55"/>
      <c r="D26" s="59">
        <v>1.0</v>
      </c>
      <c r="E26" s="57">
        <v>46181.0</v>
      </c>
      <c r="F26" s="57">
        <v>46182.0</v>
      </c>
      <c r="G26" s="25"/>
      <c r="H26" s="25"/>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row>
    <row r="27" ht="15.75" customHeight="1">
      <c r="A27" s="20"/>
      <c r="B27" s="54" t="s">
        <v>31</v>
      </c>
      <c r="C27" s="55"/>
      <c r="D27" s="56">
        <v>0.5</v>
      </c>
      <c r="E27" s="57">
        <v>46183.0</v>
      </c>
      <c r="F27" s="57">
        <v>46195.0</v>
      </c>
      <c r="G27" s="25"/>
      <c r="H27" s="25" t="str">
        <f>IF(OR(ISBLANK(ProjectSchedule!task_start),ISBLANK(ProjectSchedule!task_end)),"",ProjectSchedule!task_end-ProjectSchedule!task_start+1)</f>
        <v/>
      </c>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28"/>
      <c r="CA27" s="28"/>
      <c r="CB27" s="28"/>
      <c r="CC27" s="28"/>
      <c r="CD27" s="28"/>
      <c r="CE27" s="28"/>
      <c r="CF27" s="28"/>
      <c r="CG27" s="28"/>
      <c r="CH27" s="28"/>
      <c r="CI27" s="28"/>
      <c r="CJ27" s="28"/>
      <c r="CK27" s="28"/>
      <c r="CL27" s="28"/>
      <c r="CM27" s="28"/>
      <c r="CN27" s="28"/>
      <c r="CO27" s="28"/>
      <c r="CP27" s="28"/>
      <c r="CQ27" s="28"/>
      <c r="CR27" s="28"/>
      <c r="CS27" s="28"/>
      <c r="CT27" s="28"/>
      <c r="CU27" s="28"/>
      <c r="CV27" s="28"/>
      <c r="CW27" s="28"/>
      <c r="CX27" s="28"/>
      <c r="CY27" s="28"/>
      <c r="CZ27" s="28"/>
      <c r="DA27" s="28"/>
      <c r="DB27" s="28"/>
      <c r="DC27" s="28"/>
      <c r="DD27" s="28"/>
      <c r="DE27" s="28"/>
      <c r="DF27" s="28"/>
      <c r="DG27" s="28"/>
      <c r="DH27" s="28"/>
      <c r="DI27" s="28"/>
      <c r="DJ27" s="28"/>
      <c r="DK27" s="28"/>
      <c r="DL27" s="28"/>
      <c r="DM27" s="28"/>
      <c r="DN27" s="28"/>
      <c r="DO27" s="28"/>
      <c r="DP27" s="28"/>
      <c r="DQ27" s="28"/>
      <c r="DR27" s="28"/>
      <c r="DS27" s="28"/>
      <c r="DT27" s="28"/>
      <c r="DU27" s="28"/>
      <c r="DV27" s="28"/>
      <c r="DW27" s="28"/>
      <c r="DX27" s="28"/>
      <c r="DY27" s="28"/>
      <c r="DZ27" s="28"/>
      <c r="EA27" s="28"/>
      <c r="EB27" s="28"/>
      <c r="EC27" s="28"/>
      <c r="ED27" s="28"/>
    </row>
    <row r="28" ht="15.75" customHeight="1">
      <c r="A28" s="20"/>
      <c r="B28" s="58" t="s">
        <v>32</v>
      </c>
      <c r="C28" s="55"/>
      <c r="D28" s="59">
        <v>1.0</v>
      </c>
      <c r="E28" s="57">
        <v>46196.0</v>
      </c>
      <c r="F28" s="60" t="s">
        <v>33</v>
      </c>
      <c r="G28" s="25"/>
      <c r="H28" s="25"/>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c r="BM28" s="28"/>
      <c r="BN28" s="28"/>
      <c r="BO28" s="28"/>
      <c r="BP28" s="28"/>
      <c r="BQ28" s="28"/>
      <c r="BR28" s="28"/>
      <c r="BS28" s="28"/>
      <c r="BT28" s="28"/>
      <c r="BU28" s="28"/>
      <c r="BV28" s="28"/>
      <c r="BW28" s="28"/>
      <c r="BX28" s="28"/>
      <c r="BY28" s="28"/>
      <c r="BZ28" s="28"/>
      <c r="CA28" s="28"/>
      <c r="CB28" s="28"/>
      <c r="CC28" s="28"/>
      <c r="CD28" s="28"/>
      <c r="CE28" s="28"/>
      <c r="CF28" s="28"/>
      <c r="CG28" s="28"/>
      <c r="CH28" s="28"/>
      <c r="CI28" s="28"/>
      <c r="CJ28" s="28"/>
      <c r="CK28" s="28"/>
      <c r="CL28" s="28"/>
      <c r="CM28" s="28"/>
      <c r="CN28" s="28"/>
      <c r="CO28" s="28"/>
      <c r="CP28" s="28"/>
      <c r="CQ28" s="28"/>
      <c r="CR28" s="28"/>
      <c r="CS28" s="28"/>
      <c r="CT28" s="28"/>
      <c r="CU28" s="28"/>
      <c r="CV28" s="28"/>
      <c r="CW28" s="28"/>
      <c r="CX28" s="28"/>
      <c r="CY28" s="28"/>
      <c r="CZ28" s="28"/>
      <c r="DA28" s="28"/>
      <c r="DB28" s="28"/>
      <c r="DC28" s="28"/>
      <c r="DD28" s="28"/>
      <c r="DE28" s="28"/>
      <c r="DF28" s="28"/>
      <c r="DG28" s="28"/>
      <c r="DH28" s="28"/>
      <c r="DI28" s="28"/>
      <c r="DJ28" s="28"/>
      <c r="DK28" s="28"/>
      <c r="DL28" s="28"/>
      <c r="DM28" s="28"/>
      <c r="DN28" s="28"/>
      <c r="DO28" s="28"/>
      <c r="DP28" s="28"/>
      <c r="DQ28" s="28"/>
      <c r="DR28" s="28"/>
      <c r="DS28" s="28"/>
      <c r="DT28" s="28"/>
      <c r="DU28" s="28"/>
      <c r="DV28" s="28"/>
      <c r="DW28" s="28"/>
      <c r="DX28" s="28"/>
      <c r="DY28" s="28"/>
      <c r="DZ28" s="28"/>
      <c r="EA28" s="28"/>
      <c r="EB28" s="28"/>
      <c r="EC28" s="28"/>
      <c r="ED28" s="28"/>
    </row>
    <row r="29" ht="15.75" customHeight="1">
      <c r="A29" s="20"/>
      <c r="B29" s="54" t="s">
        <v>34</v>
      </c>
      <c r="C29" s="55"/>
      <c r="D29" s="56">
        <v>0.25</v>
      </c>
      <c r="E29" s="57">
        <v>46198.0</v>
      </c>
      <c r="F29" s="61">
        <v>46210.0</v>
      </c>
      <c r="G29" s="25"/>
      <c r="H29" s="25" t="str">
        <f>IF(OR(ISBLANK(ProjectSchedule!task_start),ISBLANK(ProjectSchedule!task_end)),"",ProjectSchedule!task_end-ProjectSchedule!task_start+1)</f>
        <v/>
      </c>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c r="CH29" s="28"/>
      <c r="CI29" s="28"/>
      <c r="CJ29" s="28"/>
      <c r="CK29" s="28"/>
      <c r="CL29" s="28"/>
      <c r="CM29" s="28"/>
      <c r="CN29" s="28"/>
      <c r="CO29" s="28"/>
      <c r="CP29" s="28"/>
      <c r="CQ29" s="28"/>
      <c r="CR29" s="28"/>
      <c r="CS29" s="28"/>
      <c r="CT29" s="28"/>
      <c r="CU29" s="28"/>
      <c r="CV29" s="28"/>
      <c r="CW29" s="28"/>
      <c r="CX29" s="28"/>
      <c r="CY29" s="28"/>
      <c r="CZ29" s="28"/>
      <c r="DA29" s="28"/>
      <c r="DB29" s="28"/>
      <c r="DC29" s="28"/>
      <c r="DD29" s="28"/>
      <c r="DE29" s="28"/>
      <c r="DF29" s="28"/>
      <c r="DG29" s="28"/>
      <c r="DH29" s="28"/>
      <c r="DI29" s="28"/>
      <c r="DJ29" s="28"/>
      <c r="DK29" s="28"/>
      <c r="DL29" s="28"/>
      <c r="DM29" s="28"/>
      <c r="DN29" s="28"/>
      <c r="DO29" s="28"/>
      <c r="DP29" s="28"/>
      <c r="DQ29" s="28"/>
      <c r="DR29" s="28"/>
      <c r="DS29" s="28"/>
      <c r="DT29" s="28"/>
      <c r="DU29" s="28"/>
      <c r="DV29" s="28"/>
      <c r="DW29" s="28"/>
      <c r="DX29" s="28"/>
      <c r="DY29" s="28"/>
      <c r="DZ29" s="28"/>
      <c r="EA29" s="28"/>
      <c r="EB29" s="28"/>
      <c r="EC29" s="28"/>
      <c r="ED29" s="28"/>
    </row>
    <row r="30" ht="15.75" customHeight="1">
      <c r="A30" s="20"/>
      <c r="B30" s="58" t="s">
        <v>35</v>
      </c>
      <c r="C30" s="55"/>
      <c r="D30" s="59">
        <v>0.75</v>
      </c>
      <c r="E30" s="57">
        <v>46211.0</v>
      </c>
      <c r="F30" s="57">
        <v>46212.0</v>
      </c>
      <c r="G30" s="25"/>
      <c r="H30" s="25"/>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28"/>
      <c r="CE30" s="28"/>
      <c r="CF30" s="28"/>
      <c r="CG30" s="28"/>
      <c r="CH30" s="28"/>
      <c r="CI30" s="28"/>
      <c r="CJ30" s="28"/>
      <c r="CK30" s="28"/>
      <c r="CL30" s="28"/>
      <c r="CM30" s="28"/>
      <c r="CN30" s="28"/>
      <c r="CO30" s="28"/>
      <c r="CP30" s="28"/>
      <c r="CQ30" s="28"/>
      <c r="CR30" s="28"/>
      <c r="CS30" s="28"/>
      <c r="CT30" s="28"/>
      <c r="CU30" s="28"/>
      <c r="CV30" s="28"/>
      <c r="CW30" s="28"/>
      <c r="CX30" s="28"/>
      <c r="CY30" s="28"/>
      <c r="CZ30" s="28"/>
      <c r="DA30" s="28"/>
      <c r="DB30" s="28"/>
      <c r="DC30" s="28"/>
      <c r="DD30" s="28"/>
      <c r="DE30" s="28"/>
      <c r="DF30" s="28"/>
      <c r="DG30" s="28"/>
      <c r="DH30" s="28"/>
      <c r="DI30" s="28"/>
      <c r="DJ30" s="28"/>
      <c r="DK30" s="28"/>
      <c r="DL30" s="28"/>
      <c r="DM30" s="28"/>
      <c r="DN30" s="28"/>
      <c r="DO30" s="28"/>
      <c r="DP30" s="28"/>
      <c r="DQ30" s="28"/>
      <c r="DR30" s="28"/>
      <c r="DS30" s="28"/>
      <c r="DT30" s="28"/>
      <c r="DU30" s="28"/>
      <c r="DV30" s="28"/>
      <c r="DW30" s="28"/>
      <c r="DX30" s="28"/>
      <c r="DY30" s="28"/>
      <c r="DZ30" s="28"/>
      <c r="EA30" s="28"/>
      <c r="EB30" s="28"/>
      <c r="EC30" s="28"/>
      <c r="ED30" s="28"/>
    </row>
    <row r="31" ht="15.75" customHeight="1">
      <c r="A31" s="20"/>
      <c r="B31" s="58" t="s">
        <v>36</v>
      </c>
      <c r="C31" s="55"/>
      <c r="D31" s="59">
        <v>1.0</v>
      </c>
      <c r="E31" s="57">
        <v>46213.0</v>
      </c>
      <c r="F31" s="57">
        <v>46219.0</v>
      </c>
      <c r="G31" s="25"/>
      <c r="H31" s="25"/>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28"/>
      <c r="CE31" s="28"/>
      <c r="CF31" s="28"/>
      <c r="CG31" s="28"/>
      <c r="CH31" s="28"/>
      <c r="CI31" s="28"/>
      <c r="CJ31" s="28"/>
      <c r="CK31" s="28"/>
      <c r="CL31" s="28"/>
      <c r="CM31" s="28"/>
      <c r="CN31" s="28"/>
      <c r="CO31" s="28"/>
      <c r="CP31" s="28"/>
      <c r="CQ31" s="28"/>
      <c r="CR31" s="28"/>
      <c r="CS31" s="28"/>
      <c r="CT31" s="28"/>
      <c r="CU31" s="28"/>
      <c r="CV31" s="28"/>
      <c r="CW31" s="28"/>
      <c r="CX31" s="28"/>
      <c r="CY31" s="28"/>
      <c r="CZ31" s="28"/>
      <c r="DA31" s="28"/>
      <c r="DB31" s="28"/>
      <c r="DC31" s="28"/>
      <c r="DD31" s="28"/>
      <c r="DE31" s="28"/>
      <c r="DF31" s="28"/>
      <c r="DG31" s="28"/>
      <c r="DH31" s="28"/>
      <c r="DI31" s="28"/>
      <c r="DJ31" s="28"/>
      <c r="DK31" s="28"/>
      <c r="DL31" s="28"/>
      <c r="DM31" s="28"/>
      <c r="DN31" s="28"/>
      <c r="DO31" s="28"/>
      <c r="DP31" s="28"/>
      <c r="DQ31" s="28"/>
      <c r="DR31" s="28"/>
      <c r="DS31" s="28"/>
      <c r="DT31" s="28"/>
      <c r="DU31" s="28"/>
      <c r="DV31" s="28"/>
      <c r="DW31" s="28"/>
      <c r="DX31" s="28"/>
      <c r="DY31" s="28"/>
      <c r="DZ31" s="28"/>
      <c r="EA31" s="28"/>
      <c r="EB31" s="28"/>
      <c r="EC31" s="28"/>
      <c r="ED31" s="28"/>
    </row>
    <row r="32" ht="15.75" customHeight="1">
      <c r="A32" s="20"/>
      <c r="B32" s="62" t="s">
        <v>37</v>
      </c>
      <c r="C32" s="63"/>
      <c r="D32" s="64"/>
      <c r="E32" s="65"/>
      <c r="F32" s="65"/>
      <c r="G32" s="25"/>
      <c r="H32" s="25" t="str">
        <f>IF(OR(ISBLANK(ProjectSchedule!task_start),ISBLANK(ProjectSchedule!task_end)),"",ProjectSchedule!task_end-ProjectSchedule!task_start+1)</f>
        <v/>
      </c>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c r="CH32" s="28"/>
      <c r="CI32" s="28"/>
      <c r="CJ32" s="28"/>
      <c r="CK32" s="28"/>
      <c r="CL32" s="28"/>
      <c r="CM32" s="28"/>
      <c r="CN32" s="28"/>
      <c r="CO32" s="28"/>
      <c r="CP32" s="28"/>
      <c r="CQ32" s="28"/>
      <c r="CR32" s="28"/>
      <c r="CS32" s="28"/>
      <c r="CT32" s="28"/>
      <c r="CU32" s="28"/>
      <c r="CV32" s="28"/>
      <c r="CW32" s="28"/>
      <c r="CX32" s="28"/>
      <c r="CY32" s="28"/>
      <c r="CZ32" s="28"/>
      <c r="DA32" s="28"/>
      <c r="DB32" s="28"/>
      <c r="DC32" s="28"/>
      <c r="DD32" s="28"/>
      <c r="DE32" s="28"/>
      <c r="DF32" s="28"/>
      <c r="DG32" s="28"/>
      <c r="DH32" s="28"/>
      <c r="DI32" s="28"/>
      <c r="DJ32" s="28"/>
      <c r="DK32" s="28"/>
      <c r="DL32" s="28"/>
      <c r="DM32" s="28"/>
      <c r="DN32" s="28"/>
      <c r="DO32" s="28"/>
      <c r="DP32" s="28"/>
      <c r="DQ32" s="28"/>
      <c r="DR32" s="28"/>
      <c r="DS32" s="28"/>
      <c r="DT32" s="28"/>
      <c r="DU32" s="28"/>
      <c r="DV32" s="28"/>
      <c r="DW32" s="28"/>
      <c r="DX32" s="28"/>
      <c r="DY32" s="28"/>
      <c r="DZ32" s="28"/>
      <c r="EA32" s="28"/>
      <c r="EB32" s="28"/>
      <c r="EC32" s="28"/>
      <c r="ED32" s="28"/>
    </row>
    <row r="33" ht="15.75" customHeight="1">
      <c r="A33" s="20"/>
      <c r="B33" s="66" t="s">
        <v>38</v>
      </c>
      <c r="C33" s="67"/>
      <c r="D33" s="68">
        <v>0.5</v>
      </c>
      <c r="E33" s="69">
        <v>46220.0</v>
      </c>
      <c r="F33" s="69">
        <v>46226.0</v>
      </c>
      <c r="G33" s="25"/>
      <c r="H33" s="25" t="str">
        <f>IF(OR(ISBLANK(ProjectSchedule!task_start),ISBLANK(ProjectSchedule!task_end)),"",ProjectSchedule!task_end-ProjectSchedule!task_start+1)</f>
        <v/>
      </c>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28"/>
      <c r="CX33" s="28"/>
      <c r="CY33" s="28"/>
      <c r="CZ33" s="28"/>
      <c r="DA33" s="28"/>
      <c r="DB33" s="28"/>
      <c r="DC33" s="28"/>
      <c r="DD33" s="28"/>
      <c r="DE33" s="28"/>
      <c r="DF33" s="28"/>
      <c r="DG33" s="28"/>
      <c r="DH33" s="28"/>
      <c r="DI33" s="28"/>
      <c r="DJ33" s="28"/>
      <c r="DK33" s="28"/>
      <c r="DL33" s="28"/>
      <c r="DM33" s="28"/>
      <c r="DN33" s="28"/>
      <c r="DO33" s="28"/>
      <c r="DP33" s="28"/>
      <c r="DQ33" s="28"/>
      <c r="DR33" s="28"/>
      <c r="DS33" s="28"/>
      <c r="DT33" s="28"/>
      <c r="DU33" s="28"/>
      <c r="DV33" s="28"/>
      <c r="DW33" s="28"/>
      <c r="DX33" s="28"/>
      <c r="DY33" s="28"/>
      <c r="DZ33" s="28"/>
      <c r="EA33" s="28"/>
      <c r="EB33" s="28"/>
      <c r="EC33" s="28"/>
      <c r="ED33" s="28"/>
    </row>
    <row r="34" ht="15.75" customHeight="1">
      <c r="A34" s="20"/>
      <c r="B34" s="66" t="s">
        <v>39</v>
      </c>
      <c r="C34" s="67"/>
      <c r="D34" s="68">
        <v>0.25</v>
      </c>
      <c r="E34" s="69">
        <v>46220.0</v>
      </c>
      <c r="F34" s="69">
        <v>46226.0</v>
      </c>
      <c r="G34" s="25"/>
      <c r="H34" s="25" t="str">
        <f>IF(OR(ISBLANK(ProjectSchedule!task_start),ISBLANK(ProjectSchedule!task_end)),"",ProjectSchedule!task_end-ProjectSchedule!task_start+1)</f>
        <v/>
      </c>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c r="BM34" s="28"/>
      <c r="BN34" s="28"/>
      <c r="BO34" s="28"/>
      <c r="BP34" s="28"/>
      <c r="BQ34" s="28"/>
      <c r="BR34" s="28"/>
      <c r="BS34" s="28"/>
      <c r="BT34" s="28"/>
      <c r="BU34" s="28"/>
      <c r="BV34" s="28"/>
      <c r="BW34" s="28"/>
      <c r="BX34" s="28"/>
      <c r="BY34" s="28"/>
      <c r="BZ34" s="28"/>
      <c r="CA34" s="28"/>
      <c r="CB34" s="28"/>
      <c r="CC34" s="28"/>
      <c r="CD34" s="28"/>
      <c r="CE34" s="28"/>
      <c r="CF34" s="28"/>
      <c r="CG34" s="28"/>
      <c r="CH34" s="28"/>
      <c r="CI34" s="28"/>
      <c r="CJ34" s="28"/>
      <c r="CK34" s="28"/>
      <c r="CL34" s="28"/>
      <c r="CM34" s="28"/>
      <c r="CN34" s="28"/>
      <c r="CO34" s="28"/>
      <c r="CP34" s="28"/>
      <c r="CQ34" s="28"/>
      <c r="CR34" s="28"/>
      <c r="CS34" s="28"/>
      <c r="CT34" s="28"/>
      <c r="CU34" s="28"/>
      <c r="CV34" s="28"/>
      <c r="CW34" s="28"/>
      <c r="CX34" s="28"/>
      <c r="CY34" s="28"/>
      <c r="CZ34" s="28"/>
      <c r="DA34" s="28"/>
      <c r="DB34" s="28"/>
      <c r="DC34" s="28"/>
      <c r="DD34" s="28"/>
      <c r="DE34" s="28"/>
      <c r="DF34" s="28"/>
      <c r="DG34" s="28"/>
      <c r="DH34" s="28"/>
      <c r="DI34" s="28"/>
      <c r="DJ34" s="28"/>
      <c r="DK34" s="28"/>
      <c r="DL34" s="28"/>
      <c r="DM34" s="28"/>
      <c r="DN34" s="28"/>
      <c r="DO34" s="28"/>
      <c r="DP34" s="28"/>
      <c r="DQ34" s="28"/>
      <c r="DR34" s="28"/>
      <c r="DS34" s="28"/>
      <c r="DT34" s="28"/>
      <c r="DU34" s="28"/>
      <c r="DV34" s="28"/>
      <c r="DW34" s="28"/>
      <c r="DX34" s="28"/>
      <c r="DY34" s="28"/>
      <c r="DZ34" s="28"/>
      <c r="EA34" s="28"/>
      <c r="EB34" s="28"/>
      <c r="EC34" s="28"/>
      <c r="ED34" s="28"/>
    </row>
    <row r="35" ht="15.75" customHeight="1">
      <c r="A35" s="20"/>
      <c r="B35" s="66" t="s">
        <v>40</v>
      </c>
      <c r="C35" s="67"/>
      <c r="D35" s="68">
        <v>0.0</v>
      </c>
      <c r="E35" s="70">
        <v>46227.0</v>
      </c>
      <c r="F35" s="69">
        <v>46232.0</v>
      </c>
      <c r="G35" s="25"/>
      <c r="H35" s="25" t="str">
        <f>IF(OR(ISBLANK(ProjectSchedule!task_start),ISBLANK(ProjectSchedule!task_end)),"",ProjectSchedule!task_end-ProjectSchedule!task_start+1)</f>
        <v/>
      </c>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28"/>
      <c r="CB35" s="28"/>
      <c r="CC35" s="28"/>
      <c r="CD35" s="28"/>
      <c r="CE35" s="28"/>
      <c r="CF35" s="28"/>
      <c r="CG35" s="28"/>
      <c r="CH35" s="28"/>
      <c r="CI35" s="28"/>
      <c r="CJ35" s="28"/>
      <c r="CK35" s="28"/>
      <c r="CL35" s="28"/>
      <c r="CM35" s="28"/>
      <c r="CN35" s="28"/>
      <c r="CO35" s="28"/>
      <c r="CP35" s="28"/>
      <c r="CQ35" s="28"/>
      <c r="CR35" s="28"/>
      <c r="CS35" s="28"/>
      <c r="CT35" s="28"/>
      <c r="CU35" s="28"/>
      <c r="CV35" s="28"/>
      <c r="CW35" s="28"/>
      <c r="CX35" s="28"/>
      <c r="CY35" s="28"/>
      <c r="CZ35" s="28"/>
      <c r="DA35" s="28"/>
      <c r="DB35" s="28"/>
      <c r="DC35" s="28"/>
      <c r="DD35" s="28"/>
      <c r="DE35" s="28"/>
      <c r="DF35" s="28"/>
      <c r="DG35" s="28"/>
      <c r="DH35" s="28"/>
      <c r="DI35" s="28"/>
      <c r="DJ35" s="28"/>
      <c r="DK35" s="28"/>
      <c r="DL35" s="28"/>
      <c r="DM35" s="28"/>
      <c r="DN35" s="28"/>
      <c r="DO35" s="28"/>
      <c r="DP35" s="28"/>
      <c r="DQ35" s="28"/>
      <c r="DR35" s="28"/>
      <c r="DS35" s="28"/>
      <c r="DT35" s="28"/>
      <c r="DU35" s="28"/>
      <c r="DV35" s="28"/>
      <c r="DW35" s="28"/>
      <c r="DX35" s="28"/>
      <c r="DY35" s="28"/>
      <c r="DZ35" s="28"/>
      <c r="EA35" s="28"/>
      <c r="EB35" s="28"/>
      <c r="EC35" s="28"/>
      <c r="ED35" s="28"/>
    </row>
    <row r="36" ht="15.75" customHeight="1">
      <c r="A36" s="20"/>
      <c r="B36" s="66" t="s">
        <v>41</v>
      </c>
      <c r="C36" s="67"/>
      <c r="D36" s="68">
        <v>0.0</v>
      </c>
      <c r="E36" s="69">
        <v>46238.0</v>
      </c>
      <c r="F36" s="69">
        <v>46244.0</v>
      </c>
      <c r="G36" s="25"/>
      <c r="H36" s="25" t="str">
        <f>IF(OR(ISBLANK(ProjectSchedule!task_start),ISBLANK(ProjectSchedule!task_end)),"",ProjectSchedule!task_end-ProjectSchedule!task_start+1)</f>
        <v/>
      </c>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c r="CH36" s="28"/>
      <c r="CI36" s="28"/>
      <c r="CJ36" s="28"/>
      <c r="CK36" s="28"/>
      <c r="CL36" s="28"/>
      <c r="CM36" s="28"/>
      <c r="CN36" s="28"/>
      <c r="CO36" s="28"/>
      <c r="CP36" s="28"/>
      <c r="CQ36" s="28"/>
      <c r="CR36" s="28"/>
      <c r="CS36" s="28"/>
      <c r="CT36" s="28"/>
      <c r="CU36" s="28"/>
      <c r="CV36" s="28"/>
      <c r="CW36" s="28"/>
      <c r="CX36" s="28"/>
      <c r="CY36" s="28"/>
      <c r="CZ36" s="28"/>
      <c r="DA36" s="28"/>
      <c r="DB36" s="28"/>
      <c r="DC36" s="28"/>
      <c r="DD36" s="28"/>
      <c r="DE36" s="28"/>
      <c r="DF36" s="28"/>
      <c r="DG36" s="28"/>
      <c r="DH36" s="28"/>
      <c r="DI36" s="28"/>
      <c r="DJ36" s="28"/>
      <c r="DK36" s="28"/>
      <c r="DL36" s="28"/>
      <c r="DM36" s="28"/>
      <c r="DN36" s="28"/>
      <c r="DO36" s="28"/>
      <c r="DP36" s="28"/>
      <c r="DQ36" s="28"/>
      <c r="DR36" s="28"/>
      <c r="DS36" s="28"/>
      <c r="DT36" s="28"/>
      <c r="DU36" s="28"/>
      <c r="DV36" s="28"/>
      <c r="DW36" s="28"/>
      <c r="DX36" s="28"/>
      <c r="DY36" s="28"/>
      <c r="DZ36" s="28"/>
      <c r="EA36" s="28"/>
      <c r="EB36" s="28"/>
      <c r="EC36" s="28"/>
      <c r="ED36" s="28"/>
    </row>
    <row r="37" ht="15.75" customHeight="1">
      <c r="A37" s="20"/>
      <c r="B37" s="71" t="s">
        <v>42</v>
      </c>
      <c r="C37" s="67"/>
      <c r="D37" s="72">
        <v>0.5</v>
      </c>
      <c r="E37" s="69">
        <v>46238.0</v>
      </c>
      <c r="F37" s="69">
        <v>46244.0</v>
      </c>
      <c r="G37" s="25"/>
      <c r="H37" s="25"/>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28"/>
      <c r="CD37" s="28"/>
      <c r="CE37" s="28"/>
      <c r="CF37" s="28"/>
      <c r="CG37" s="28"/>
      <c r="CH37" s="28"/>
      <c r="CI37" s="28"/>
      <c r="CJ37" s="28"/>
      <c r="CK37" s="28"/>
      <c r="CL37" s="28"/>
      <c r="CM37" s="28"/>
      <c r="CN37" s="28"/>
      <c r="CO37" s="28"/>
      <c r="CP37" s="28"/>
      <c r="CQ37" s="28"/>
      <c r="CR37" s="28"/>
      <c r="CS37" s="28"/>
      <c r="CT37" s="28"/>
      <c r="CU37" s="28"/>
      <c r="CV37" s="28"/>
      <c r="CW37" s="28"/>
      <c r="CX37" s="28"/>
      <c r="CY37" s="28"/>
      <c r="CZ37" s="28"/>
      <c r="DA37" s="28"/>
      <c r="DB37" s="28"/>
      <c r="DC37" s="28"/>
      <c r="DD37" s="28"/>
      <c r="DE37" s="28"/>
      <c r="DF37" s="28"/>
      <c r="DG37" s="28"/>
      <c r="DH37" s="28"/>
      <c r="DI37" s="28"/>
      <c r="DJ37" s="28"/>
      <c r="DK37" s="28"/>
      <c r="DL37" s="28"/>
      <c r="DM37" s="28"/>
      <c r="DN37" s="28"/>
      <c r="DO37" s="28"/>
      <c r="DP37" s="28"/>
      <c r="DQ37" s="28"/>
      <c r="DR37" s="28"/>
      <c r="DS37" s="28"/>
      <c r="DT37" s="28"/>
      <c r="DU37" s="28"/>
      <c r="DV37" s="28"/>
      <c r="DW37" s="28"/>
      <c r="DX37" s="28"/>
      <c r="DY37" s="28"/>
      <c r="DZ37" s="28"/>
      <c r="EA37" s="28"/>
      <c r="EB37" s="28"/>
      <c r="EC37" s="28"/>
      <c r="ED37" s="28"/>
    </row>
    <row r="38" ht="15.75" customHeight="1">
      <c r="A38" s="20"/>
      <c r="B38" s="73" t="s">
        <v>43</v>
      </c>
      <c r="C38" s="74"/>
      <c r="D38" s="75"/>
      <c r="E38" s="76"/>
      <c r="F38" s="76"/>
      <c r="G38" s="25"/>
      <c r="H38" s="25" t="str">
        <f>IF(OR(ISBLANK(ProjectSchedule!task_start),ISBLANK(ProjectSchedule!task_end)),"",ProjectSchedule!task_end-ProjectSchedule!task_start+1)</f>
        <v/>
      </c>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c r="BZ38" s="28"/>
      <c r="CA38" s="28"/>
      <c r="CB38" s="28"/>
      <c r="CC38" s="28"/>
      <c r="CD38" s="28"/>
      <c r="CE38" s="28"/>
      <c r="CF38" s="28"/>
      <c r="CG38" s="28"/>
      <c r="CH38" s="28"/>
      <c r="CI38" s="28"/>
      <c r="CJ38" s="28"/>
      <c r="CK38" s="28"/>
      <c r="CL38" s="28"/>
      <c r="CM38" s="28"/>
      <c r="CN38" s="28"/>
      <c r="CO38" s="28"/>
      <c r="CP38" s="28"/>
      <c r="CQ38" s="28"/>
      <c r="CR38" s="28"/>
      <c r="CS38" s="28"/>
      <c r="CT38" s="28"/>
      <c r="CU38" s="28"/>
      <c r="CV38" s="28"/>
      <c r="CW38" s="28"/>
      <c r="CX38" s="28"/>
      <c r="CY38" s="28"/>
      <c r="CZ38" s="28"/>
      <c r="DA38" s="28"/>
      <c r="DB38" s="28"/>
      <c r="DC38" s="28"/>
      <c r="DD38" s="28"/>
      <c r="DE38" s="28"/>
      <c r="DF38" s="28"/>
      <c r="DG38" s="28"/>
      <c r="DH38" s="28"/>
      <c r="DI38" s="28"/>
      <c r="DJ38" s="28"/>
      <c r="DK38" s="28"/>
      <c r="DL38" s="28"/>
      <c r="DM38" s="28"/>
      <c r="DN38" s="28"/>
      <c r="DO38" s="28"/>
      <c r="DP38" s="28"/>
      <c r="DQ38" s="28"/>
      <c r="DR38" s="28"/>
      <c r="DS38" s="28"/>
      <c r="DT38" s="28"/>
      <c r="DU38" s="28"/>
      <c r="DV38" s="28"/>
      <c r="DW38" s="28"/>
      <c r="DX38" s="28"/>
      <c r="DY38" s="28"/>
      <c r="DZ38" s="28"/>
      <c r="EA38" s="28"/>
      <c r="EB38" s="28"/>
      <c r="EC38" s="28"/>
      <c r="ED38" s="28"/>
    </row>
    <row r="39" ht="15.75" customHeight="1">
      <c r="A39" s="20"/>
      <c r="B39" s="77" t="s">
        <v>44</v>
      </c>
      <c r="C39" s="78"/>
      <c r="D39" s="79">
        <v>0.0</v>
      </c>
      <c r="E39" s="80">
        <v>46245.0</v>
      </c>
      <c r="F39" s="80">
        <v>46251.0</v>
      </c>
      <c r="G39" s="25"/>
      <c r="H39" s="25" t="str">
        <f>IF(OR(ISBLANK(ProjectSchedule!task_start),ISBLANK(ProjectSchedule!task_end)),"",ProjectSchedule!task_end-ProjectSchedule!task_start+1)</f>
        <v/>
      </c>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c r="CA39" s="28"/>
      <c r="CB39" s="28"/>
      <c r="CC39" s="28"/>
      <c r="CD39" s="28"/>
      <c r="CE39" s="28"/>
      <c r="CF39" s="28"/>
      <c r="CG39" s="28"/>
      <c r="CH39" s="28"/>
      <c r="CI39" s="28"/>
      <c r="CJ39" s="28"/>
      <c r="CK39" s="28"/>
      <c r="CL39" s="28"/>
      <c r="CM39" s="28"/>
      <c r="CN39" s="28"/>
      <c r="CO39" s="28"/>
      <c r="CP39" s="28"/>
      <c r="CQ39" s="28"/>
      <c r="CR39" s="28"/>
      <c r="CS39" s="28"/>
      <c r="CT39" s="28"/>
      <c r="CU39" s="28"/>
      <c r="CV39" s="28"/>
      <c r="CW39" s="28"/>
      <c r="CX39" s="28"/>
      <c r="CY39" s="28"/>
      <c r="CZ39" s="28"/>
      <c r="DA39" s="28"/>
      <c r="DB39" s="28"/>
      <c r="DC39" s="28"/>
      <c r="DD39" s="28"/>
      <c r="DE39" s="28"/>
      <c r="DF39" s="28"/>
      <c r="DG39" s="28"/>
      <c r="DH39" s="28"/>
      <c r="DI39" s="28"/>
      <c r="DJ39" s="28"/>
      <c r="DK39" s="28"/>
      <c r="DL39" s="28"/>
      <c r="DM39" s="28"/>
      <c r="DN39" s="28"/>
      <c r="DO39" s="28"/>
      <c r="DP39" s="28"/>
      <c r="DQ39" s="28"/>
      <c r="DR39" s="28"/>
      <c r="DS39" s="28"/>
      <c r="DT39" s="28"/>
      <c r="DU39" s="28"/>
      <c r="DV39" s="28"/>
      <c r="DW39" s="28"/>
      <c r="DX39" s="28"/>
      <c r="DY39" s="28"/>
      <c r="DZ39" s="28"/>
      <c r="EA39" s="28"/>
      <c r="EB39" s="28"/>
      <c r="EC39" s="28"/>
      <c r="ED39" s="28"/>
    </row>
    <row r="40" ht="15.75" customHeight="1">
      <c r="A40" s="20"/>
      <c r="B40" s="77" t="s">
        <v>45</v>
      </c>
      <c r="C40" s="78"/>
      <c r="D40" s="79">
        <v>0.0</v>
      </c>
      <c r="E40" s="80">
        <v>46252.0</v>
      </c>
      <c r="F40" s="80">
        <v>46253.0</v>
      </c>
      <c r="G40" s="25"/>
      <c r="H40" s="25" t="str">
        <f>IF(OR(ISBLANK(ProjectSchedule!task_start),ISBLANK(ProjectSchedule!task_end)),"",ProjectSchedule!task_end-ProjectSchedule!task_start+1)</f>
        <v/>
      </c>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c r="CA40" s="28"/>
      <c r="CB40" s="28"/>
      <c r="CC40" s="28"/>
      <c r="CD40" s="28"/>
      <c r="CE40" s="28"/>
      <c r="CF40" s="28"/>
      <c r="CG40" s="28"/>
      <c r="CH40" s="28"/>
      <c r="CI40" s="28"/>
      <c r="CJ40" s="28"/>
      <c r="CK40" s="28"/>
      <c r="CL40" s="28"/>
      <c r="CM40" s="28"/>
      <c r="CN40" s="28"/>
      <c r="CO40" s="28"/>
      <c r="CP40" s="28"/>
      <c r="CQ40" s="28"/>
      <c r="CR40" s="28"/>
      <c r="CS40" s="28"/>
      <c r="CT40" s="28"/>
      <c r="CU40" s="28"/>
      <c r="CV40" s="28"/>
      <c r="CW40" s="28"/>
      <c r="CX40" s="28"/>
      <c r="CY40" s="28"/>
      <c r="CZ40" s="28"/>
      <c r="DA40" s="28"/>
      <c r="DB40" s="28"/>
      <c r="DC40" s="28"/>
      <c r="DD40" s="28"/>
      <c r="DE40" s="28"/>
      <c r="DF40" s="28"/>
      <c r="DG40" s="28"/>
      <c r="DH40" s="28"/>
      <c r="DI40" s="28"/>
      <c r="DJ40" s="28"/>
      <c r="DK40" s="28"/>
      <c r="DL40" s="28"/>
      <c r="DM40" s="28"/>
      <c r="DN40" s="28"/>
      <c r="DO40" s="28"/>
      <c r="DP40" s="28"/>
      <c r="DQ40" s="28"/>
      <c r="DR40" s="28"/>
      <c r="DS40" s="28"/>
      <c r="DT40" s="28"/>
      <c r="DU40" s="28"/>
      <c r="DV40" s="28"/>
      <c r="DW40" s="28"/>
      <c r="DX40" s="28"/>
      <c r="DY40" s="28"/>
      <c r="DZ40" s="28"/>
      <c r="EA40" s="28"/>
      <c r="EB40" s="28"/>
      <c r="EC40" s="28"/>
      <c r="ED40" s="28"/>
    </row>
    <row r="41" ht="15.75" customHeight="1">
      <c r="A41" s="20"/>
      <c r="B41" s="77" t="s">
        <v>46</v>
      </c>
      <c r="C41" s="78"/>
      <c r="D41" s="79">
        <v>0.0</v>
      </c>
      <c r="E41" s="80">
        <v>46254.0</v>
      </c>
      <c r="F41" s="80">
        <v>46255.0</v>
      </c>
      <c r="G41" s="25"/>
      <c r="H41" s="25" t="str">
        <f>IF(OR(ISBLANK(ProjectSchedule!task_start),ISBLANK(ProjectSchedule!task_end)),"",ProjectSchedule!task_end-ProjectSchedule!task_start+1)</f>
        <v/>
      </c>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28"/>
      <c r="BK41" s="28"/>
      <c r="BL41" s="28"/>
      <c r="BM41" s="28"/>
      <c r="BN41" s="28"/>
      <c r="BO41" s="28"/>
      <c r="BP41" s="28"/>
      <c r="BQ41" s="28"/>
      <c r="BR41" s="28"/>
      <c r="BS41" s="28"/>
      <c r="BT41" s="28"/>
      <c r="BU41" s="28"/>
      <c r="BV41" s="28"/>
      <c r="BW41" s="28"/>
      <c r="BX41" s="28"/>
      <c r="BY41" s="28"/>
      <c r="BZ41" s="28"/>
      <c r="CA41" s="28"/>
      <c r="CB41" s="28"/>
      <c r="CC41" s="28"/>
      <c r="CD41" s="28"/>
      <c r="CE41" s="28"/>
      <c r="CF41" s="28"/>
      <c r="CG41" s="28"/>
      <c r="CH41" s="28"/>
      <c r="CI41" s="28"/>
      <c r="CJ41" s="28"/>
      <c r="CK41" s="28"/>
      <c r="CL41" s="28"/>
      <c r="CM41" s="28"/>
      <c r="CN41" s="28"/>
      <c r="CO41" s="28"/>
      <c r="CP41" s="28"/>
      <c r="CQ41" s="28"/>
      <c r="CR41" s="28"/>
      <c r="CS41" s="28"/>
      <c r="CT41" s="28"/>
      <c r="CU41" s="28"/>
      <c r="CV41" s="28"/>
      <c r="CW41" s="28"/>
      <c r="CX41" s="28"/>
      <c r="CY41" s="28"/>
      <c r="CZ41" s="28"/>
      <c r="DA41" s="28"/>
      <c r="DB41" s="28"/>
      <c r="DC41" s="28"/>
      <c r="DD41" s="28"/>
      <c r="DE41" s="28"/>
      <c r="DF41" s="28"/>
      <c r="DG41" s="28"/>
      <c r="DH41" s="28"/>
      <c r="DI41" s="28"/>
      <c r="DJ41" s="28"/>
      <c r="DK41" s="28"/>
      <c r="DL41" s="28"/>
      <c r="DM41" s="28"/>
      <c r="DN41" s="28"/>
      <c r="DO41" s="28"/>
      <c r="DP41" s="28"/>
      <c r="DQ41" s="28"/>
      <c r="DR41" s="28"/>
      <c r="DS41" s="28"/>
      <c r="DT41" s="28"/>
      <c r="DU41" s="28"/>
      <c r="DV41" s="28"/>
      <c r="DW41" s="28"/>
      <c r="DX41" s="28"/>
      <c r="DY41" s="28"/>
      <c r="DZ41" s="28"/>
      <c r="EA41" s="28"/>
      <c r="EB41" s="28"/>
      <c r="EC41" s="28"/>
      <c r="ED41" s="28"/>
    </row>
    <row r="42" ht="15.75" customHeight="1">
      <c r="A42" s="20"/>
      <c r="B42" s="81" t="s">
        <v>47</v>
      </c>
      <c r="C42" s="82"/>
      <c r="D42" s="83">
        <v>0.0</v>
      </c>
      <c r="E42" s="84">
        <v>46258.0</v>
      </c>
      <c r="F42" s="84">
        <v>46283.0</v>
      </c>
      <c r="G42" s="25"/>
      <c r="H42" s="25"/>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AZ42" s="28"/>
      <c r="BA42" s="28"/>
      <c r="BB42" s="28"/>
      <c r="BC42" s="28"/>
      <c r="BD42" s="28"/>
      <c r="BE42" s="28"/>
      <c r="BF42" s="28"/>
      <c r="BG42" s="28"/>
      <c r="BH42" s="28"/>
      <c r="BI42" s="28"/>
      <c r="BJ42" s="28"/>
      <c r="BK42" s="28"/>
      <c r="BL42" s="28"/>
      <c r="BM42" s="28"/>
      <c r="BN42" s="28"/>
      <c r="BO42" s="28"/>
      <c r="BP42" s="28"/>
      <c r="BQ42" s="28"/>
      <c r="BR42" s="28"/>
      <c r="BS42" s="28"/>
      <c r="BT42" s="28"/>
      <c r="BU42" s="28"/>
      <c r="BV42" s="28"/>
      <c r="BW42" s="28"/>
      <c r="BX42" s="28"/>
      <c r="BY42" s="28"/>
      <c r="BZ42" s="28"/>
      <c r="CA42" s="28"/>
      <c r="CB42" s="28"/>
      <c r="CC42" s="28"/>
      <c r="CD42" s="28"/>
      <c r="CE42" s="28"/>
      <c r="CF42" s="28"/>
      <c r="CG42" s="28"/>
      <c r="CH42" s="28"/>
      <c r="CI42" s="28"/>
      <c r="CJ42" s="28"/>
      <c r="CK42" s="28"/>
      <c r="CL42" s="28"/>
      <c r="CM42" s="28"/>
      <c r="CN42" s="28"/>
      <c r="CO42" s="28"/>
      <c r="CP42" s="28"/>
      <c r="CQ42" s="28"/>
      <c r="CR42" s="28"/>
      <c r="CS42" s="28"/>
      <c r="CT42" s="28"/>
      <c r="CU42" s="28"/>
      <c r="CV42" s="28"/>
      <c r="CW42" s="28"/>
      <c r="CX42" s="28"/>
      <c r="CY42" s="28"/>
      <c r="CZ42" s="28"/>
      <c r="DA42" s="28"/>
      <c r="DB42" s="28"/>
      <c r="DC42" s="28"/>
      <c r="DD42" s="28"/>
      <c r="DE42" s="28"/>
      <c r="DF42" s="28"/>
      <c r="DG42" s="28"/>
      <c r="DH42" s="28"/>
      <c r="DI42" s="28"/>
      <c r="DJ42" s="28"/>
      <c r="DK42" s="28"/>
      <c r="DL42" s="28"/>
      <c r="DM42" s="28"/>
      <c r="DN42" s="28"/>
      <c r="DO42" s="28"/>
      <c r="DP42" s="28"/>
      <c r="DQ42" s="28"/>
      <c r="DR42" s="28"/>
      <c r="DS42" s="28"/>
      <c r="DT42" s="28"/>
      <c r="DU42" s="28"/>
      <c r="DV42" s="28"/>
      <c r="DW42" s="28"/>
      <c r="DX42" s="28"/>
      <c r="DY42" s="28"/>
      <c r="DZ42" s="28"/>
      <c r="EA42" s="28"/>
      <c r="EB42" s="28"/>
      <c r="EC42" s="28"/>
      <c r="ED42" s="28"/>
    </row>
    <row r="43" ht="15.75" customHeight="1">
      <c r="A43" s="20"/>
      <c r="B43" s="81" t="s">
        <v>48</v>
      </c>
      <c r="C43" s="82"/>
      <c r="D43" s="83">
        <v>0.0</v>
      </c>
      <c r="E43" s="84">
        <v>46286.0</v>
      </c>
      <c r="F43" s="84">
        <v>46332.0</v>
      </c>
      <c r="G43" s="25"/>
      <c r="H43" s="25"/>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c r="AL43" s="28"/>
      <c r="AM43" s="28"/>
      <c r="AN43" s="28"/>
      <c r="AO43" s="28"/>
      <c r="AP43" s="28"/>
      <c r="AQ43" s="28"/>
      <c r="AR43" s="28"/>
      <c r="AS43" s="28"/>
      <c r="AT43" s="28"/>
      <c r="AU43" s="28"/>
      <c r="AV43" s="28"/>
      <c r="AW43" s="28"/>
      <c r="AX43" s="28"/>
      <c r="AY43" s="28"/>
      <c r="AZ43" s="28"/>
      <c r="BA43" s="28"/>
      <c r="BB43" s="28"/>
      <c r="BC43" s="28"/>
      <c r="BD43" s="28"/>
      <c r="BE43" s="28"/>
      <c r="BF43" s="28"/>
      <c r="BG43" s="28"/>
      <c r="BH43" s="28"/>
      <c r="BI43" s="28"/>
      <c r="BJ43" s="28"/>
      <c r="BK43" s="28"/>
      <c r="BL43" s="28"/>
      <c r="BM43" s="28"/>
      <c r="BN43" s="28"/>
      <c r="BO43" s="28"/>
      <c r="BP43" s="28"/>
      <c r="BQ43" s="28"/>
      <c r="BR43" s="28"/>
      <c r="BS43" s="28"/>
      <c r="BT43" s="28"/>
      <c r="BU43" s="28"/>
      <c r="BV43" s="28"/>
      <c r="BW43" s="28"/>
      <c r="BX43" s="28"/>
      <c r="BY43" s="28"/>
      <c r="BZ43" s="28"/>
      <c r="CA43" s="28"/>
      <c r="CB43" s="28"/>
      <c r="CC43" s="28"/>
      <c r="CD43" s="28"/>
      <c r="CE43" s="28"/>
      <c r="CF43" s="28"/>
      <c r="CG43" s="28"/>
      <c r="CH43" s="28"/>
      <c r="CI43" s="28"/>
      <c r="CJ43" s="28"/>
      <c r="CK43" s="28"/>
      <c r="CL43" s="28"/>
      <c r="CM43" s="28"/>
      <c r="CN43" s="28"/>
      <c r="CO43" s="28"/>
      <c r="CP43" s="28"/>
      <c r="CQ43" s="28"/>
      <c r="CR43" s="28"/>
      <c r="CS43" s="28"/>
      <c r="CT43" s="28"/>
      <c r="CU43" s="28"/>
      <c r="CV43" s="28"/>
      <c r="CW43" s="28"/>
      <c r="CX43" s="28"/>
      <c r="CY43" s="28"/>
      <c r="CZ43" s="28"/>
      <c r="DA43" s="28"/>
      <c r="DB43" s="28"/>
      <c r="DC43" s="28"/>
      <c r="DD43" s="28"/>
      <c r="DE43" s="28"/>
      <c r="DF43" s="28"/>
      <c r="DG43" s="28"/>
      <c r="DH43" s="28"/>
      <c r="DI43" s="28"/>
      <c r="DJ43" s="28"/>
      <c r="DK43" s="28"/>
      <c r="DL43" s="28"/>
      <c r="DM43" s="28"/>
      <c r="DN43" s="28"/>
      <c r="DO43" s="28"/>
      <c r="DP43" s="28"/>
      <c r="DQ43" s="28"/>
      <c r="DR43" s="28"/>
      <c r="DS43" s="28"/>
      <c r="DT43" s="28"/>
      <c r="DU43" s="28"/>
      <c r="DV43" s="28"/>
      <c r="DW43" s="28"/>
      <c r="DX43" s="28"/>
      <c r="DY43" s="28"/>
      <c r="DZ43" s="28"/>
      <c r="EA43" s="28"/>
      <c r="EB43" s="28"/>
      <c r="EC43" s="28"/>
      <c r="ED43" s="28"/>
    </row>
    <row r="44" ht="15.75" customHeight="1">
      <c r="A44" s="20"/>
      <c r="B44" s="24"/>
      <c r="C44" s="25"/>
      <c r="D44" s="26"/>
      <c r="E44" s="27"/>
      <c r="F44" s="27"/>
      <c r="G44" s="25"/>
      <c r="H44" s="25" t="str">
        <f>IF(OR(ISBLANK(ProjectSchedule!task_start),ISBLANK(ProjectSchedule!task_end)),"",ProjectSchedule!task_end-ProjectSchedule!task_start+1)</f>
        <v/>
      </c>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c r="CU44" s="28"/>
      <c r="CV44" s="28"/>
      <c r="CW44" s="28"/>
      <c r="CX44" s="28"/>
      <c r="CY44" s="28"/>
      <c r="CZ44" s="28"/>
      <c r="DA44" s="28"/>
      <c r="DB44" s="28"/>
      <c r="DC44" s="28"/>
      <c r="DD44" s="28"/>
      <c r="DE44" s="28"/>
      <c r="DF44" s="28"/>
      <c r="DG44" s="28"/>
      <c r="DH44" s="28"/>
      <c r="DI44" s="28"/>
      <c r="DJ44" s="28"/>
      <c r="DK44" s="28"/>
      <c r="DL44" s="28"/>
      <c r="DM44" s="28"/>
      <c r="DN44" s="28"/>
      <c r="DO44" s="28"/>
      <c r="DP44" s="28"/>
      <c r="DQ44" s="28"/>
      <c r="DR44" s="28"/>
      <c r="DS44" s="28"/>
      <c r="DT44" s="28"/>
      <c r="DU44" s="28"/>
      <c r="DV44" s="28"/>
      <c r="DW44" s="28"/>
      <c r="DX44" s="28"/>
      <c r="DY44" s="28"/>
      <c r="DZ44" s="28"/>
      <c r="EA44" s="28"/>
      <c r="EB44" s="28"/>
      <c r="EC44" s="28"/>
      <c r="ED44" s="28"/>
    </row>
    <row r="45" ht="15.75" customHeight="1">
      <c r="A45" s="20"/>
      <c r="B45" s="24"/>
      <c r="C45" s="25"/>
      <c r="D45" s="26"/>
      <c r="E45" s="27"/>
      <c r="F45" s="27"/>
      <c r="G45" s="25"/>
      <c r="H45" s="25" t="str">
        <f>IF(OR(ISBLANK(ProjectSchedule!task_start),ISBLANK(ProjectSchedule!task_end)),"",ProjectSchedule!task_end-ProjectSchedule!task_start+1)</f>
        <v/>
      </c>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c r="CU45" s="28"/>
      <c r="CV45" s="28"/>
      <c r="CW45" s="28"/>
      <c r="CX45" s="28"/>
      <c r="CY45" s="28"/>
      <c r="CZ45" s="28"/>
      <c r="DA45" s="28"/>
      <c r="DB45" s="28"/>
      <c r="DC45" s="28"/>
      <c r="DD45" s="28"/>
      <c r="DE45" s="28"/>
      <c r="DF45" s="28"/>
      <c r="DG45" s="28"/>
      <c r="DH45" s="28"/>
      <c r="DI45" s="28"/>
      <c r="DJ45" s="28"/>
      <c r="DK45" s="28"/>
      <c r="DL45" s="28"/>
      <c r="DM45" s="28"/>
      <c r="DN45" s="28"/>
      <c r="DO45" s="28"/>
      <c r="DP45" s="28"/>
      <c r="DQ45" s="28"/>
      <c r="DR45" s="28"/>
      <c r="DS45" s="28"/>
      <c r="DT45" s="28"/>
      <c r="DU45" s="28"/>
      <c r="DV45" s="28"/>
      <c r="DW45" s="28"/>
      <c r="DX45" s="28"/>
      <c r="DY45" s="28"/>
      <c r="DZ45" s="28"/>
      <c r="EA45" s="28"/>
      <c r="EB45" s="28"/>
      <c r="EC45" s="28"/>
      <c r="ED45" s="28"/>
    </row>
    <row r="46" ht="15.75" customHeight="1">
      <c r="A46" s="20"/>
      <c r="B46" s="24"/>
      <c r="C46" s="25"/>
      <c r="D46" s="26"/>
      <c r="E46" s="27"/>
      <c r="F46" s="27"/>
      <c r="G46" s="25"/>
      <c r="H46" s="25" t="str">
        <f>IF(OR(ISBLANK(ProjectSchedule!task_start),ISBLANK(ProjectSchedule!task_end)),"",ProjectSchedule!task_end-ProjectSchedule!task_start+1)</f>
        <v/>
      </c>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28"/>
      <c r="CL46" s="28"/>
      <c r="CM46" s="28"/>
      <c r="CN46" s="28"/>
      <c r="CO46" s="28"/>
      <c r="CP46" s="28"/>
      <c r="CQ46" s="28"/>
      <c r="CR46" s="28"/>
      <c r="CS46" s="28"/>
      <c r="CT46" s="28"/>
      <c r="CU46" s="28"/>
      <c r="CV46" s="28"/>
      <c r="CW46" s="28"/>
      <c r="CX46" s="28"/>
      <c r="CY46" s="28"/>
      <c r="CZ46" s="28"/>
      <c r="DA46" s="28"/>
      <c r="DB46" s="28"/>
      <c r="DC46" s="28"/>
      <c r="DD46" s="28"/>
      <c r="DE46" s="28"/>
      <c r="DF46" s="28"/>
      <c r="DG46" s="28"/>
      <c r="DH46" s="28"/>
      <c r="DI46" s="28"/>
      <c r="DJ46" s="28"/>
      <c r="DK46" s="28"/>
      <c r="DL46" s="28"/>
      <c r="DM46" s="28"/>
      <c r="DN46" s="28"/>
      <c r="DO46" s="28"/>
      <c r="DP46" s="28"/>
      <c r="DQ46" s="28"/>
      <c r="DR46" s="28"/>
      <c r="DS46" s="28"/>
      <c r="DT46" s="28"/>
      <c r="DU46" s="28"/>
      <c r="DV46" s="28"/>
      <c r="DW46" s="28"/>
      <c r="DX46" s="28"/>
      <c r="DY46" s="28"/>
      <c r="DZ46" s="28"/>
      <c r="EA46" s="28"/>
      <c r="EB46" s="28"/>
      <c r="EC46" s="28"/>
      <c r="ED46" s="28"/>
    </row>
    <row r="47" ht="15.75" customHeight="1">
      <c r="A47" s="20"/>
      <c r="B47" s="85" t="s">
        <v>49</v>
      </c>
      <c r="C47" s="86"/>
      <c r="D47" s="87"/>
      <c r="E47" s="88"/>
      <c r="F47" s="89"/>
      <c r="G47" s="90"/>
      <c r="H47" s="90" t="str">
        <f>IF(OR(ISBLANK(ProjectSchedule!task_start),ISBLANK(ProjectSchedule!task_end)),"",ProjectSchedule!task_end-ProjectSchedule!task_start+1)</f>
        <v/>
      </c>
      <c r="I47" s="91"/>
      <c r="J47" s="91"/>
      <c r="K47" s="91"/>
      <c r="L47" s="91"/>
      <c r="M47" s="91"/>
      <c r="N47" s="91"/>
      <c r="O47" s="91"/>
      <c r="P47" s="91"/>
      <c r="Q47" s="91"/>
      <c r="R47" s="91"/>
      <c r="S47" s="91"/>
      <c r="T47" s="91"/>
      <c r="U47" s="91"/>
      <c r="V47" s="91"/>
      <c r="W47" s="91"/>
      <c r="X47" s="91"/>
      <c r="Y47" s="91"/>
      <c r="Z47" s="91"/>
      <c r="AA47" s="91"/>
      <c r="AB47" s="91"/>
      <c r="AC47" s="91"/>
      <c r="AD47" s="91"/>
      <c r="AE47" s="91"/>
      <c r="AF47" s="91"/>
      <c r="AG47" s="91"/>
      <c r="AH47" s="91"/>
      <c r="AI47" s="91"/>
      <c r="AJ47" s="91"/>
      <c r="AK47" s="91"/>
      <c r="AL47" s="91"/>
      <c r="AM47" s="91"/>
      <c r="AN47" s="91"/>
      <c r="AO47" s="91"/>
      <c r="AP47" s="91"/>
      <c r="AQ47" s="91"/>
      <c r="AR47" s="91"/>
      <c r="AS47" s="91"/>
      <c r="AT47" s="91"/>
      <c r="AU47" s="91"/>
      <c r="AV47" s="91"/>
      <c r="AW47" s="91"/>
      <c r="AX47" s="91"/>
      <c r="AY47" s="91"/>
      <c r="AZ47" s="91"/>
      <c r="BA47" s="91"/>
      <c r="BB47" s="91"/>
      <c r="BC47" s="91"/>
      <c r="BD47" s="91"/>
      <c r="BE47" s="91"/>
      <c r="BF47" s="91"/>
      <c r="BG47" s="91"/>
      <c r="BH47" s="91"/>
      <c r="BI47" s="91"/>
      <c r="BJ47" s="91"/>
      <c r="BK47" s="91"/>
      <c r="BL47" s="91"/>
      <c r="BM47" s="91"/>
      <c r="BN47" s="91"/>
      <c r="BO47" s="91"/>
      <c r="BP47" s="91"/>
      <c r="BQ47" s="91"/>
      <c r="BR47" s="91"/>
      <c r="BS47" s="91"/>
      <c r="BT47" s="91"/>
      <c r="BU47" s="91"/>
      <c r="BV47" s="91"/>
      <c r="BW47" s="91"/>
      <c r="BX47" s="91"/>
      <c r="BY47" s="91"/>
      <c r="BZ47" s="91"/>
      <c r="CA47" s="91"/>
      <c r="CB47" s="91"/>
      <c r="CC47" s="91"/>
      <c r="CD47" s="91"/>
      <c r="CE47" s="91"/>
      <c r="CF47" s="91"/>
      <c r="CG47" s="91"/>
      <c r="CH47" s="91"/>
      <c r="CI47" s="91"/>
      <c r="CJ47" s="91"/>
      <c r="CK47" s="91"/>
      <c r="CL47" s="91"/>
      <c r="CM47" s="91"/>
      <c r="CN47" s="91"/>
      <c r="CO47" s="91"/>
      <c r="CP47" s="91"/>
      <c r="CQ47" s="91"/>
      <c r="CR47" s="91"/>
      <c r="CS47" s="91"/>
      <c r="CT47" s="91"/>
      <c r="CU47" s="91"/>
      <c r="CV47" s="91"/>
      <c r="CW47" s="91"/>
      <c r="CX47" s="91"/>
      <c r="CY47" s="91"/>
      <c r="CZ47" s="91"/>
      <c r="DA47" s="91"/>
      <c r="DB47" s="91"/>
      <c r="DC47" s="91"/>
      <c r="DD47" s="91"/>
      <c r="DE47" s="91"/>
      <c r="DF47" s="91"/>
      <c r="DG47" s="91"/>
      <c r="DH47" s="91"/>
      <c r="DI47" s="91"/>
      <c r="DJ47" s="91"/>
      <c r="DK47" s="91"/>
      <c r="DL47" s="91"/>
      <c r="DM47" s="91"/>
      <c r="DN47" s="91"/>
      <c r="DO47" s="91"/>
      <c r="DP47" s="91"/>
      <c r="DQ47" s="91"/>
      <c r="DR47" s="91"/>
      <c r="DS47" s="91"/>
      <c r="DT47" s="91"/>
      <c r="DU47" s="91"/>
      <c r="DV47" s="91"/>
      <c r="DW47" s="91"/>
      <c r="DX47" s="91"/>
      <c r="DY47" s="91"/>
      <c r="DZ47" s="91"/>
      <c r="EA47" s="91"/>
      <c r="EB47" s="91"/>
      <c r="EC47" s="91"/>
      <c r="ED47" s="91"/>
    </row>
    <row r="48" ht="15.75" customHeight="1">
      <c r="A48" s="9"/>
      <c r="E48" s="16"/>
      <c r="G48" s="9"/>
    </row>
    <row r="49" ht="15.75" customHeight="1">
      <c r="B49" s="92" t="s">
        <v>50</v>
      </c>
      <c r="C49" s="93"/>
      <c r="E49" s="16"/>
      <c r="F49" s="94">
        <v>43113.0</v>
      </c>
    </row>
    <row r="50" ht="15.75" customHeight="1">
      <c r="B50" s="95" t="s">
        <v>51</v>
      </c>
      <c r="C50" s="96"/>
      <c r="E50" s="16"/>
    </row>
    <row r="51" ht="15.75" customHeight="1">
      <c r="B51" s="97" t="s">
        <v>52</v>
      </c>
      <c r="E51" s="16"/>
    </row>
    <row r="52" ht="15.75" customHeight="1">
      <c r="E52" s="16"/>
    </row>
    <row r="53" ht="15.75" customHeight="1">
      <c r="E53" s="16"/>
    </row>
    <row r="54" ht="15.75" customHeight="1">
      <c r="E54" s="16"/>
    </row>
    <row r="55" ht="15.75" customHeight="1">
      <c r="E55" s="16"/>
    </row>
    <row r="56" ht="15.75" customHeight="1">
      <c r="E56" s="16"/>
    </row>
    <row r="57" ht="15.75" customHeight="1">
      <c r="E57" s="16"/>
    </row>
    <row r="58" ht="15.75" customHeight="1">
      <c r="E58" s="16"/>
    </row>
    <row r="59" ht="15.75" customHeight="1">
      <c r="E59" s="16"/>
    </row>
    <row r="60" ht="15.75" customHeight="1">
      <c r="E60" s="16"/>
    </row>
    <row r="61" ht="15.75" customHeight="1">
      <c r="E61" s="16"/>
    </row>
    <row r="62" ht="15.75" customHeight="1">
      <c r="E62" s="16"/>
    </row>
    <row r="63" ht="15.75" customHeight="1">
      <c r="E63" s="16"/>
    </row>
    <row r="64" ht="15.75" customHeight="1">
      <c r="E64" s="16"/>
    </row>
    <row r="65" ht="15.75" customHeight="1">
      <c r="E65" s="16"/>
    </row>
    <row r="66" ht="15.75" customHeight="1">
      <c r="E66" s="16"/>
    </row>
    <row r="67" ht="15.75" customHeight="1">
      <c r="E67" s="16"/>
    </row>
    <row r="68" ht="15.75" customHeight="1">
      <c r="E68" s="16"/>
    </row>
    <row r="69" ht="15.75" customHeight="1">
      <c r="E69" s="16"/>
    </row>
    <row r="70" ht="15.75" customHeight="1">
      <c r="E70" s="16"/>
    </row>
    <row r="71" ht="15.75" customHeight="1">
      <c r="E71" s="16"/>
    </row>
    <row r="72" ht="15.75" customHeight="1">
      <c r="E72" s="16"/>
    </row>
    <row r="73" ht="15.75" customHeight="1">
      <c r="E73" s="16"/>
    </row>
    <row r="74" ht="15.75" customHeight="1">
      <c r="E74" s="16"/>
    </row>
    <row r="75" ht="15.75" customHeight="1">
      <c r="E75" s="16"/>
    </row>
    <row r="76" ht="15.75" customHeight="1">
      <c r="E76" s="16"/>
    </row>
    <row r="77" ht="15.75" customHeight="1">
      <c r="E77" s="16"/>
    </row>
    <row r="78" ht="15.75" customHeight="1">
      <c r="E78" s="16"/>
    </row>
    <row r="79" ht="15.75" customHeight="1">
      <c r="E79" s="16"/>
    </row>
    <row r="80" ht="15.75" customHeight="1">
      <c r="E80" s="16"/>
    </row>
    <row r="81" ht="15.75" customHeight="1">
      <c r="E81" s="16"/>
    </row>
    <row r="82" ht="15.75" customHeight="1">
      <c r="E82" s="16"/>
    </row>
    <row r="83" ht="15.75" customHeight="1">
      <c r="E83" s="16"/>
    </row>
    <row r="84" ht="15.75" customHeight="1">
      <c r="E84" s="16"/>
    </row>
    <row r="85" ht="15.75" customHeight="1">
      <c r="E85" s="16"/>
    </row>
    <row r="86" ht="15.75" customHeight="1">
      <c r="E86" s="16"/>
    </row>
    <row r="87" ht="15.75" customHeight="1">
      <c r="E87" s="16"/>
    </row>
    <row r="88" ht="15.75" customHeight="1">
      <c r="E88" s="16"/>
    </row>
    <row r="89" ht="15.75" customHeight="1">
      <c r="E89" s="16"/>
    </row>
    <row r="90" ht="15.75" customHeight="1">
      <c r="E90" s="16"/>
    </row>
    <row r="91" ht="15.75" customHeight="1">
      <c r="E91" s="16"/>
    </row>
    <row r="92" ht="15.75" customHeight="1">
      <c r="E92" s="16"/>
    </row>
    <row r="93" ht="15.75" customHeight="1">
      <c r="E93" s="16"/>
    </row>
    <row r="94" ht="15.75" customHeight="1">
      <c r="E94" s="16"/>
    </row>
    <row r="95" ht="15.75" customHeight="1">
      <c r="E95" s="16"/>
    </row>
    <row r="96" ht="15.75" customHeight="1">
      <c r="E96" s="16"/>
    </row>
    <row r="97" ht="15.75" customHeight="1">
      <c r="E97" s="16"/>
    </row>
    <row r="98" ht="15.75" customHeight="1">
      <c r="E98" s="16"/>
    </row>
    <row r="99" ht="15.75" customHeight="1">
      <c r="E99" s="16"/>
    </row>
    <row r="100" ht="15.75" customHeight="1">
      <c r="E100" s="16"/>
    </row>
    <row r="101" ht="15.75" customHeight="1">
      <c r="E101" s="16"/>
    </row>
    <row r="102" ht="15.75" customHeight="1">
      <c r="E102" s="16"/>
    </row>
    <row r="103" ht="15.75" customHeight="1">
      <c r="E103" s="16"/>
    </row>
    <row r="104" ht="15.75" customHeight="1">
      <c r="E104" s="16"/>
    </row>
    <row r="105" ht="15.75" customHeight="1">
      <c r="E105" s="16"/>
    </row>
    <row r="106" ht="15.75" customHeight="1">
      <c r="E106" s="16"/>
    </row>
    <row r="107" ht="15.75" customHeight="1">
      <c r="E107" s="16"/>
    </row>
    <row r="108" ht="15.75" customHeight="1">
      <c r="E108" s="16"/>
    </row>
    <row r="109" ht="15.75" customHeight="1">
      <c r="E109" s="16"/>
    </row>
    <row r="110" ht="15.75" customHeight="1">
      <c r="E110" s="16"/>
    </row>
    <row r="111" ht="15.75" customHeight="1">
      <c r="E111" s="16"/>
    </row>
    <row r="112" ht="15.75" customHeight="1">
      <c r="E112" s="16"/>
    </row>
    <row r="113" ht="15.75" customHeight="1">
      <c r="E113" s="16"/>
    </row>
    <row r="114" ht="15.75" customHeight="1">
      <c r="E114" s="16"/>
    </row>
    <row r="115" ht="15.75" customHeight="1">
      <c r="E115" s="16"/>
    </row>
    <row r="116" ht="15.75" customHeight="1">
      <c r="E116" s="16"/>
    </row>
    <row r="117" ht="15.75" customHeight="1">
      <c r="E117" s="16"/>
    </row>
    <row r="118" ht="15.75" customHeight="1">
      <c r="E118" s="16"/>
    </row>
    <row r="119" ht="15.75" customHeight="1">
      <c r="E119" s="16"/>
    </row>
    <row r="120" ht="15.75" customHeight="1">
      <c r="E120" s="16"/>
    </row>
    <row r="121" ht="15.75" customHeight="1">
      <c r="E121" s="16"/>
    </row>
    <row r="122" ht="15.75" customHeight="1">
      <c r="E122" s="16"/>
    </row>
    <row r="123" ht="15.75" customHeight="1">
      <c r="E123" s="16"/>
    </row>
    <row r="124" ht="15.75" customHeight="1">
      <c r="E124" s="16"/>
    </row>
    <row r="125" ht="15.75" customHeight="1">
      <c r="E125" s="16"/>
    </row>
    <row r="126" ht="15.75" customHeight="1">
      <c r="E126" s="16"/>
    </row>
    <row r="127" ht="15.75" customHeight="1">
      <c r="E127" s="16"/>
    </row>
    <row r="128" ht="15.75" customHeight="1">
      <c r="E128" s="16"/>
    </row>
    <row r="129" ht="15.75" customHeight="1">
      <c r="E129" s="16"/>
    </row>
    <row r="130" ht="15.75" customHeight="1">
      <c r="E130" s="16"/>
    </row>
    <row r="131" ht="15.75" customHeight="1">
      <c r="E131" s="16"/>
    </row>
    <row r="132" ht="15.75" customHeight="1">
      <c r="E132" s="16"/>
    </row>
    <row r="133" ht="15.75" customHeight="1">
      <c r="E133" s="16"/>
    </row>
    <row r="134" ht="15.75" customHeight="1">
      <c r="E134" s="16"/>
    </row>
    <row r="135" ht="15.75" customHeight="1">
      <c r="E135" s="16"/>
    </row>
    <row r="136" ht="15.75" customHeight="1">
      <c r="E136" s="16"/>
    </row>
    <row r="137" ht="15.75" customHeight="1">
      <c r="E137" s="16"/>
    </row>
    <row r="138" ht="15.75" customHeight="1">
      <c r="E138" s="16"/>
    </row>
    <row r="139" ht="15.75" customHeight="1">
      <c r="E139" s="16"/>
    </row>
    <row r="140" ht="15.75" customHeight="1">
      <c r="E140" s="16"/>
    </row>
    <row r="141" ht="15.75" customHeight="1">
      <c r="E141" s="16"/>
    </row>
    <row r="142" ht="15.75" customHeight="1">
      <c r="E142" s="16"/>
    </row>
    <row r="143" ht="15.75" customHeight="1">
      <c r="E143" s="16"/>
    </row>
    <row r="144" ht="15.75" customHeight="1">
      <c r="E144" s="16"/>
    </row>
    <row r="145" ht="15.75" customHeight="1">
      <c r="E145" s="16"/>
    </row>
    <row r="146" ht="15.75" customHeight="1">
      <c r="E146" s="16"/>
    </row>
    <row r="147" ht="15.75" customHeight="1">
      <c r="E147" s="16"/>
    </row>
    <row r="148" ht="15.75" customHeight="1">
      <c r="E148" s="16"/>
    </row>
    <row r="149" ht="15.75" customHeight="1">
      <c r="E149" s="16"/>
    </row>
    <row r="150" ht="15.75" customHeight="1">
      <c r="E150" s="16"/>
    </row>
    <row r="151" ht="15.75" customHeight="1">
      <c r="E151" s="16"/>
    </row>
    <row r="152" ht="15.75" customHeight="1">
      <c r="E152" s="16"/>
    </row>
    <row r="153" ht="15.75" customHeight="1">
      <c r="E153" s="16"/>
    </row>
    <row r="154" ht="15.75" customHeight="1">
      <c r="E154" s="16"/>
    </row>
    <row r="155" ht="15.75" customHeight="1">
      <c r="E155" s="16"/>
    </row>
    <row r="156" ht="15.75" customHeight="1">
      <c r="E156" s="16"/>
    </row>
    <row r="157" ht="15.75" customHeight="1">
      <c r="E157" s="16"/>
    </row>
    <row r="158" ht="15.75" customHeight="1">
      <c r="E158" s="16"/>
    </row>
    <row r="159" ht="15.75" customHeight="1">
      <c r="E159" s="16"/>
    </row>
    <row r="160" ht="15.75" customHeight="1">
      <c r="E160" s="16"/>
    </row>
    <row r="161" ht="15.75" customHeight="1">
      <c r="E161" s="16"/>
    </row>
    <row r="162" ht="15.75" customHeight="1">
      <c r="E162" s="16"/>
    </row>
    <row r="163" ht="15.75" customHeight="1">
      <c r="E163" s="16"/>
    </row>
    <row r="164" ht="15.75" customHeight="1">
      <c r="E164" s="16"/>
    </row>
    <row r="165" ht="15.75" customHeight="1">
      <c r="E165" s="16"/>
    </row>
    <row r="166" ht="15.75" customHeight="1">
      <c r="E166" s="16"/>
    </row>
    <row r="167" ht="15.75" customHeight="1">
      <c r="E167" s="16"/>
    </row>
    <row r="168" ht="15.75" customHeight="1">
      <c r="E168" s="16"/>
    </row>
    <row r="169" ht="15.75" customHeight="1">
      <c r="E169" s="16"/>
    </row>
    <row r="170" ht="15.75" customHeight="1">
      <c r="E170" s="16"/>
    </row>
    <row r="171" ht="15.75" customHeight="1">
      <c r="E171" s="16"/>
    </row>
    <row r="172" ht="15.75" customHeight="1">
      <c r="E172" s="16"/>
    </row>
    <row r="173" ht="15.75" customHeight="1">
      <c r="E173" s="16"/>
    </row>
    <row r="174" ht="15.75" customHeight="1">
      <c r="E174" s="16"/>
    </row>
    <row r="175" ht="15.75" customHeight="1">
      <c r="E175" s="16"/>
    </row>
    <row r="176" ht="15.75" customHeight="1">
      <c r="E176" s="16"/>
    </row>
    <row r="177" ht="15.75" customHeight="1">
      <c r="E177" s="16"/>
    </row>
    <row r="178" ht="15.75" customHeight="1">
      <c r="E178" s="16"/>
    </row>
    <row r="179" ht="15.75" customHeight="1">
      <c r="E179" s="16"/>
    </row>
    <row r="180" ht="15.75" customHeight="1">
      <c r="E180" s="16"/>
    </row>
    <row r="181" ht="15.75" customHeight="1">
      <c r="E181" s="16"/>
    </row>
    <row r="182" ht="15.75" customHeight="1">
      <c r="E182" s="16"/>
    </row>
    <row r="183" ht="15.75" customHeight="1">
      <c r="E183" s="16"/>
    </row>
    <row r="184" ht="15.75" customHeight="1">
      <c r="E184" s="16"/>
    </row>
    <row r="185" ht="15.75" customHeight="1">
      <c r="E185" s="16"/>
    </row>
    <row r="186" ht="15.75" customHeight="1">
      <c r="E186" s="16"/>
    </row>
    <row r="187" ht="15.75" customHeight="1">
      <c r="E187" s="16"/>
    </row>
    <row r="188" ht="15.75" customHeight="1">
      <c r="E188" s="16"/>
    </row>
    <row r="189" ht="15.75" customHeight="1">
      <c r="E189" s="16"/>
    </row>
    <row r="190" ht="15.75" customHeight="1">
      <c r="E190" s="16"/>
    </row>
    <row r="191" ht="15.75" customHeight="1">
      <c r="E191" s="16"/>
    </row>
    <row r="192" ht="15.75" customHeight="1">
      <c r="E192" s="16"/>
    </row>
    <row r="193" ht="15.75" customHeight="1">
      <c r="E193" s="16"/>
    </row>
    <row r="194" ht="15.75" customHeight="1">
      <c r="E194" s="16"/>
    </row>
    <row r="195" ht="15.75" customHeight="1">
      <c r="E195" s="16"/>
    </row>
    <row r="196" ht="15.75" customHeight="1">
      <c r="E196" s="16"/>
    </row>
    <row r="197" ht="15.75" customHeight="1">
      <c r="E197" s="16"/>
    </row>
    <row r="198" ht="15.75" customHeight="1">
      <c r="E198" s="16"/>
    </row>
    <row r="199" ht="15.75" customHeight="1">
      <c r="E199" s="16"/>
    </row>
    <row r="200" ht="15.75" customHeight="1">
      <c r="E200" s="16"/>
    </row>
    <row r="201" ht="15.75" customHeight="1">
      <c r="E201" s="16"/>
    </row>
    <row r="202" ht="15.75" customHeight="1">
      <c r="E202" s="16"/>
    </row>
    <row r="203" ht="15.75" customHeight="1">
      <c r="E203" s="16"/>
    </row>
    <row r="204" ht="15.75" customHeight="1">
      <c r="E204" s="16"/>
    </row>
    <row r="205" ht="15.75" customHeight="1">
      <c r="E205" s="16"/>
    </row>
    <row r="206" ht="15.75" customHeight="1">
      <c r="E206" s="16"/>
    </row>
    <row r="207" ht="15.75" customHeight="1">
      <c r="E207" s="16"/>
    </row>
    <row r="208" ht="15.75" customHeight="1">
      <c r="E208" s="16"/>
    </row>
    <row r="209" ht="15.75" customHeight="1">
      <c r="E209" s="16"/>
    </row>
    <row r="210" ht="15.75" customHeight="1">
      <c r="E210" s="16"/>
    </row>
    <row r="211" ht="15.75" customHeight="1">
      <c r="E211" s="16"/>
    </row>
    <row r="212" ht="15.75" customHeight="1">
      <c r="E212" s="16"/>
    </row>
    <row r="213" ht="15.75" customHeight="1">
      <c r="E213" s="16"/>
    </row>
    <row r="214" ht="15.75" customHeight="1">
      <c r="E214" s="16"/>
    </row>
    <row r="215" ht="15.75" customHeight="1">
      <c r="E215" s="16"/>
    </row>
    <row r="216" ht="15.75" customHeight="1">
      <c r="E216" s="16"/>
    </row>
    <row r="217" ht="15.75" customHeight="1">
      <c r="E217" s="16"/>
    </row>
    <row r="218" ht="15.75" customHeight="1">
      <c r="E218" s="16"/>
    </row>
    <row r="219" ht="15.75" customHeight="1">
      <c r="E219" s="16"/>
    </row>
    <row r="220" ht="15.75" customHeight="1">
      <c r="E220" s="16"/>
    </row>
    <row r="221" ht="15.75" customHeight="1">
      <c r="E221" s="16"/>
    </row>
    <row r="222" ht="15.75" customHeight="1">
      <c r="E222" s="16"/>
    </row>
    <row r="223" ht="15.75" customHeight="1">
      <c r="E223" s="16"/>
    </row>
    <row r="224" ht="15.75" customHeight="1">
      <c r="E224" s="16"/>
    </row>
    <row r="225" ht="15.75" customHeight="1">
      <c r="E225" s="16"/>
    </row>
    <row r="226" ht="15.75" customHeight="1">
      <c r="E226" s="16"/>
    </row>
    <row r="227" ht="15.75" customHeight="1">
      <c r="E227" s="16"/>
    </row>
    <row r="228" ht="15.75" customHeight="1">
      <c r="E228" s="16"/>
    </row>
    <row r="229" ht="15.75" customHeight="1">
      <c r="E229" s="16"/>
    </row>
    <row r="230" ht="15.75" customHeight="1">
      <c r="E230" s="16"/>
    </row>
    <row r="231" ht="15.75" customHeight="1">
      <c r="E231" s="16"/>
    </row>
    <row r="232" ht="15.75" customHeight="1">
      <c r="E232" s="16"/>
    </row>
    <row r="233" ht="15.75" customHeight="1">
      <c r="E233" s="16"/>
    </row>
    <row r="234" ht="15.75" customHeight="1">
      <c r="E234" s="16"/>
    </row>
    <row r="235" ht="15.75" customHeight="1">
      <c r="E235" s="16"/>
    </row>
    <row r="236" ht="15.75" customHeight="1">
      <c r="E236" s="16"/>
    </row>
    <row r="237" ht="15.75" customHeight="1">
      <c r="E237" s="16"/>
    </row>
    <row r="238" ht="15.75" customHeight="1">
      <c r="E238" s="16"/>
    </row>
    <row r="239" ht="15.75" customHeight="1">
      <c r="E239" s="16"/>
    </row>
    <row r="240" ht="15.75" customHeight="1">
      <c r="E240" s="16"/>
    </row>
    <row r="241" ht="15.75" customHeight="1">
      <c r="E241" s="16"/>
    </row>
    <row r="242" ht="15.75" customHeight="1">
      <c r="E242" s="16"/>
    </row>
    <row r="243" ht="15.75" customHeight="1">
      <c r="E243" s="16"/>
    </row>
    <row r="244" ht="15.75" customHeight="1">
      <c r="E244" s="16"/>
    </row>
    <row r="245" ht="15.75" customHeight="1">
      <c r="E245" s="16"/>
    </row>
    <row r="246" ht="15.75" customHeight="1">
      <c r="E246" s="16"/>
    </row>
    <row r="247" ht="15.75" customHeight="1">
      <c r="E247" s="16"/>
    </row>
    <row r="248" ht="15.75" customHeight="1">
      <c r="E248" s="16"/>
    </row>
    <row r="249" ht="15.75" customHeight="1">
      <c r="E249" s="16"/>
    </row>
    <row r="250" ht="15.75" customHeight="1">
      <c r="E250" s="16"/>
    </row>
    <row r="251" ht="15.75" customHeight="1">
      <c r="E251" s="16"/>
    </row>
    <row r="252" ht="15.75" customHeight="1">
      <c r="E252" s="16"/>
    </row>
    <row r="253" ht="15.75" customHeight="1">
      <c r="E253" s="16"/>
    </row>
    <row r="254" ht="15.75" customHeight="1">
      <c r="E254" s="16"/>
    </row>
    <row r="255" ht="15.75" customHeight="1">
      <c r="E255" s="16"/>
    </row>
    <row r="256" ht="15.75" customHeight="1">
      <c r="E256" s="16"/>
    </row>
    <row r="257" ht="15.75" customHeight="1">
      <c r="E257" s="16"/>
    </row>
    <row r="258" ht="15.75" customHeight="1">
      <c r="E258" s="16"/>
    </row>
    <row r="259" ht="15.75" customHeight="1">
      <c r="E259" s="16"/>
    </row>
    <row r="260" ht="15.75" customHeight="1">
      <c r="E260" s="16"/>
    </row>
    <row r="261" ht="15.75" customHeight="1">
      <c r="E261" s="16"/>
    </row>
    <row r="262" ht="15.75" customHeight="1">
      <c r="E262" s="16"/>
    </row>
    <row r="263" ht="15.75" customHeight="1">
      <c r="E263" s="16"/>
    </row>
    <row r="264" ht="15.75" customHeight="1">
      <c r="E264" s="16"/>
    </row>
    <row r="265" ht="15.75" customHeight="1">
      <c r="E265" s="16"/>
    </row>
    <row r="266" ht="15.75" customHeight="1">
      <c r="E266" s="16"/>
    </row>
    <row r="267" ht="15.75" customHeight="1">
      <c r="E267" s="16"/>
    </row>
    <row r="268" ht="15.75" customHeight="1">
      <c r="E268" s="16"/>
    </row>
    <row r="269" ht="15.75" customHeight="1">
      <c r="E269" s="16"/>
    </row>
    <row r="270" ht="15.75" customHeight="1">
      <c r="E270" s="16"/>
    </row>
    <row r="271" ht="15.75" customHeight="1">
      <c r="E271" s="16"/>
    </row>
    <row r="272" ht="15.75" customHeight="1">
      <c r="E272" s="16"/>
    </row>
    <row r="273" ht="15.75" customHeight="1">
      <c r="E273" s="16"/>
    </row>
    <row r="274" ht="15.75" customHeight="1">
      <c r="E274" s="16"/>
    </row>
    <row r="275" ht="15.75" customHeight="1">
      <c r="E275" s="16"/>
    </row>
    <row r="276" ht="15.75" customHeight="1">
      <c r="E276" s="16"/>
    </row>
    <row r="277" ht="15.75" customHeight="1">
      <c r="E277" s="16"/>
    </row>
    <row r="278" ht="15.75" customHeight="1">
      <c r="E278" s="16"/>
    </row>
    <row r="279" ht="15.75" customHeight="1">
      <c r="E279" s="16"/>
    </row>
    <row r="280" ht="15.75" customHeight="1">
      <c r="E280" s="16"/>
    </row>
    <row r="281" ht="15.75" customHeight="1">
      <c r="E281" s="16"/>
    </row>
    <row r="282" ht="15.75" customHeight="1">
      <c r="E282" s="16"/>
    </row>
    <row r="283" ht="15.75" customHeight="1">
      <c r="E283" s="16"/>
    </row>
    <row r="284" ht="15.75" customHeight="1">
      <c r="E284" s="16"/>
    </row>
    <row r="285" ht="15.75" customHeight="1">
      <c r="E285" s="16"/>
    </row>
    <row r="286" ht="15.75" customHeight="1">
      <c r="E286" s="16"/>
    </row>
    <row r="287" ht="15.75" customHeight="1">
      <c r="E287" s="16"/>
    </row>
    <row r="288" ht="15.75" customHeight="1">
      <c r="E288" s="16"/>
    </row>
    <row r="289" ht="15.75" customHeight="1">
      <c r="E289" s="16"/>
    </row>
    <row r="290" ht="15.75" customHeight="1">
      <c r="E290" s="16"/>
    </row>
    <row r="291" ht="15.75" customHeight="1">
      <c r="E291" s="16"/>
    </row>
    <row r="292" ht="15.75" customHeight="1">
      <c r="E292" s="16"/>
    </row>
    <row r="293" ht="15.75" customHeight="1">
      <c r="E293" s="16"/>
    </row>
    <row r="294" ht="15.75" customHeight="1">
      <c r="E294" s="16"/>
    </row>
    <row r="295" ht="15.75" customHeight="1">
      <c r="E295" s="16"/>
    </row>
    <row r="296" ht="15.75" customHeight="1">
      <c r="E296" s="16"/>
    </row>
    <row r="297" ht="15.75" customHeight="1">
      <c r="E297" s="16"/>
    </row>
    <row r="298" ht="15.75" customHeight="1">
      <c r="E298" s="16"/>
    </row>
    <row r="299" ht="15.75" customHeight="1">
      <c r="E299" s="16"/>
    </row>
    <row r="300" ht="15.75" customHeight="1">
      <c r="E300" s="16"/>
    </row>
    <row r="301" ht="15.75" customHeight="1">
      <c r="E301" s="16"/>
    </row>
    <row r="302" ht="15.75" customHeight="1">
      <c r="E302" s="16"/>
    </row>
    <row r="303" ht="15.75" customHeight="1">
      <c r="E303" s="16"/>
    </row>
    <row r="304" ht="15.75" customHeight="1">
      <c r="E304" s="16"/>
    </row>
    <row r="305" ht="15.75" customHeight="1">
      <c r="E305" s="16"/>
    </row>
    <row r="306" ht="15.75" customHeight="1">
      <c r="E306" s="16"/>
    </row>
    <row r="307" ht="15.75" customHeight="1">
      <c r="E307" s="16"/>
    </row>
    <row r="308" ht="15.75" customHeight="1">
      <c r="E308" s="16"/>
    </row>
    <row r="309" ht="15.75" customHeight="1">
      <c r="E309" s="16"/>
    </row>
    <row r="310" ht="15.75" customHeight="1">
      <c r="E310" s="16"/>
    </row>
    <row r="311" ht="15.75" customHeight="1">
      <c r="E311" s="16"/>
    </row>
    <row r="312" ht="15.75" customHeight="1">
      <c r="E312" s="16"/>
    </row>
    <row r="313" ht="15.75" customHeight="1">
      <c r="E313" s="16"/>
    </row>
    <row r="314" ht="15.75" customHeight="1">
      <c r="E314" s="16"/>
    </row>
    <row r="315" ht="15.75" customHeight="1">
      <c r="E315" s="16"/>
    </row>
    <row r="316" ht="15.75" customHeight="1">
      <c r="E316" s="16"/>
    </row>
    <row r="317" ht="15.75" customHeight="1">
      <c r="E317" s="16"/>
    </row>
    <row r="318" ht="15.75" customHeight="1">
      <c r="E318" s="16"/>
    </row>
    <row r="319" ht="15.75" customHeight="1">
      <c r="E319" s="16"/>
    </row>
    <row r="320" ht="15.75" customHeight="1">
      <c r="E320" s="16"/>
    </row>
    <row r="321" ht="15.75" customHeight="1">
      <c r="E321" s="16"/>
    </row>
    <row r="322" ht="15.75" customHeight="1">
      <c r="E322" s="16"/>
    </row>
    <row r="323" ht="15.75" customHeight="1">
      <c r="E323" s="16"/>
    </row>
    <row r="324" ht="15.75" customHeight="1">
      <c r="E324" s="16"/>
    </row>
    <row r="325" ht="15.75" customHeight="1">
      <c r="E325" s="16"/>
    </row>
    <row r="326" ht="15.75" customHeight="1">
      <c r="E326" s="16"/>
    </row>
    <row r="327" ht="15.75" customHeight="1">
      <c r="E327" s="16"/>
    </row>
    <row r="328" ht="15.75" customHeight="1">
      <c r="E328" s="16"/>
    </row>
    <row r="329" ht="15.75" customHeight="1">
      <c r="E329" s="16"/>
    </row>
    <row r="330" ht="15.75" customHeight="1">
      <c r="E330" s="16"/>
    </row>
    <row r="331" ht="15.75" customHeight="1">
      <c r="E331" s="16"/>
    </row>
    <row r="332" ht="15.75" customHeight="1">
      <c r="E332" s="16"/>
    </row>
    <row r="333" ht="15.75" customHeight="1">
      <c r="E333" s="16"/>
    </row>
    <row r="334" ht="15.75" customHeight="1">
      <c r="E334" s="16"/>
    </row>
    <row r="335" ht="15.75" customHeight="1">
      <c r="E335" s="16"/>
    </row>
    <row r="336" ht="15.75" customHeight="1">
      <c r="E336" s="16"/>
    </row>
    <row r="337" ht="15.75" customHeight="1">
      <c r="E337" s="16"/>
    </row>
    <row r="338" ht="15.75" customHeight="1">
      <c r="E338" s="16"/>
    </row>
    <row r="339" ht="15.75" customHeight="1">
      <c r="E339" s="16"/>
    </row>
    <row r="340" ht="15.75" customHeight="1">
      <c r="E340" s="16"/>
    </row>
    <row r="341" ht="15.75" customHeight="1">
      <c r="E341" s="16"/>
    </row>
    <row r="342" ht="15.75" customHeight="1">
      <c r="E342" s="16"/>
    </row>
    <row r="343" ht="15.75" customHeight="1">
      <c r="E343" s="16"/>
    </row>
    <row r="344" ht="15.75" customHeight="1">
      <c r="E344" s="16"/>
    </row>
    <row r="345" ht="15.75" customHeight="1">
      <c r="E345" s="16"/>
    </row>
    <row r="346" ht="15.75" customHeight="1">
      <c r="E346" s="16"/>
    </row>
    <row r="347" ht="15.75" customHeight="1">
      <c r="E347" s="16"/>
    </row>
    <row r="348" ht="15.75" customHeight="1">
      <c r="E348" s="16"/>
    </row>
    <row r="349" ht="15.75" customHeight="1">
      <c r="E349" s="16"/>
    </row>
    <row r="350" ht="15.75" customHeight="1">
      <c r="E350" s="16"/>
    </row>
    <row r="351" ht="15.75" customHeight="1">
      <c r="E351" s="16"/>
    </row>
    <row r="352" ht="15.75" customHeight="1">
      <c r="E352" s="16"/>
    </row>
    <row r="353" ht="15.75" customHeight="1">
      <c r="E353" s="16"/>
    </row>
    <row r="354" ht="15.75" customHeight="1">
      <c r="E354" s="16"/>
    </row>
    <row r="355" ht="15.75" customHeight="1">
      <c r="E355" s="16"/>
    </row>
    <row r="356" ht="15.75" customHeight="1">
      <c r="E356" s="16"/>
    </row>
    <row r="357" ht="15.75" customHeight="1">
      <c r="E357" s="16"/>
    </row>
    <row r="358" ht="15.75" customHeight="1">
      <c r="E358" s="16"/>
    </row>
    <row r="359" ht="15.75" customHeight="1">
      <c r="E359" s="16"/>
    </row>
    <row r="360" ht="15.75" customHeight="1">
      <c r="E360" s="16"/>
    </row>
    <row r="361" ht="15.75" customHeight="1">
      <c r="E361" s="16"/>
    </row>
    <row r="362" ht="15.75" customHeight="1">
      <c r="E362" s="16"/>
    </row>
    <row r="363" ht="15.75" customHeight="1">
      <c r="E363" s="16"/>
    </row>
    <row r="364" ht="15.75" customHeight="1">
      <c r="E364" s="16"/>
    </row>
    <row r="365" ht="15.75" customHeight="1">
      <c r="E365" s="16"/>
    </row>
    <row r="366" ht="15.75" customHeight="1">
      <c r="E366" s="16"/>
    </row>
    <row r="367" ht="15.75" customHeight="1">
      <c r="E367" s="16"/>
    </row>
    <row r="368" ht="15.75" customHeight="1">
      <c r="E368" s="16"/>
    </row>
    <row r="369" ht="15.75" customHeight="1">
      <c r="E369" s="16"/>
    </row>
    <row r="370" ht="15.75" customHeight="1">
      <c r="E370" s="16"/>
    </row>
    <row r="371" ht="15.75" customHeight="1">
      <c r="E371" s="16"/>
    </row>
    <row r="372" ht="15.75" customHeight="1">
      <c r="E372" s="16"/>
    </row>
    <row r="373" ht="15.75" customHeight="1">
      <c r="E373" s="16"/>
    </row>
    <row r="374" ht="15.75" customHeight="1">
      <c r="E374" s="16"/>
    </row>
    <row r="375" ht="15.75" customHeight="1">
      <c r="E375" s="16"/>
    </row>
    <row r="376" ht="15.75" customHeight="1">
      <c r="E376" s="16"/>
    </row>
    <row r="377" ht="15.75" customHeight="1">
      <c r="E377" s="16"/>
    </row>
    <row r="378" ht="15.75" customHeight="1">
      <c r="E378" s="16"/>
    </row>
    <row r="379" ht="15.75" customHeight="1">
      <c r="E379" s="16"/>
    </row>
    <row r="380" ht="15.75" customHeight="1">
      <c r="E380" s="16"/>
    </row>
    <row r="381" ht="15.75" customHeight="1">
      <c r="E381" s="16"/>
    </row>
    <row r="382" ht="15.75" customHeight="1">
      <c r="E382" s="16"/>
    </row>
    <row r="383" ht="15.75" customHeight="1">
      <c r="E383" s="16"/>
    </row>
    <row r="384" ht="15.75" customHeight="1">
      <c r="E384" s="16"/>
    </row>
    <row r="385" ht="15.75" customHeight="1">
      <c r="E385" s="16"/>
    </row>
    <row r="386" ht="15.75" customHeight="1">
      <c r="E386" s="16"/>
    </row>
    <row r="387" ht="15.75" customHeight="1">
      <c r="E387" s="16"/>
    </row>
    <row r="388" ht="15.75" customHeight="1">
      <c r="E388" s="16"/>
    </row>
    <row r="389" ht="15.75" customHeight="1">
      <c r="E389" s="16"/>
    </row>
    <row r="390" ht="15.75" customHeight="1">
      <c r="E390" s="16"/>
    </row>
    <row r="391" ht="15.75" customHeight="1">
      <c r="E391" s="16"/>
    </row>
    <row r="392" ht="15.75" customHeight="1">
      <c r="E392" s="16"/>
    </row>
    <row r="393" ht="15.75" customHeight="1">
      <c r="E393" s="16"/>
    </row>
    <row r="394" ht="15.75" customHeight="1">
      <c r="E394" s="16"/>
    </row>
    <row r="395" ht="15.75" customHeight="1">
      <c r="E395" s="16"/>
    </row>
    <row r="396" ht="15.75" customHeight="1">
      <c r="E396" s="16"/>
    </row>
    <row r="397" ht="15.75" customHeight="1">
      <c r="E397" s="16"/>
    </row>
    <row r="398" ht="15.75" customHeight="1">
      <c r="E398" s="16"/>
    </row>
    <row r="399" ht="15.75" customHeight="1">
      <c r="E399" s="16"/>
    </row>
    <row r="400" ht="15.75" customHeight="1">
      <c r="E400" s="16"/>
    </row>
    <row r="401" ht="15.75" customHeight="1">
      <c r="E401" s="16"/>
    </row>
    <row r="402" ht="15.75" customHeight="1">
      <c r="E402" s="16"/>
    </row>
    <row r="403" ht="15.75" customHeight="1">
      <c r="E403" s="16"/>
    </row>
    <row r="404" ht="15.75" customHeight="1">
      <c r="E404" s="16"/>
    </row>
    <row r="405" ht="15.75" customHeight="1">
      <c r="E405" s="16"/>
    </row>
    <row r="406" ht="15.75" customHeight="1">
      <c r="E406" s="16"/>
    </row>
    <row r="407" ht="15.75" customHeight="1">
      <c r="E407" s="16"/>
    </row>
    <row r="408" ht="15.75" customHeight="1">
      <c r="E408" s="16"/>
    </row>
    <row r="409" ht="15.75" customHeight="1">
      <c r="E409" s="16"/>
    </row>
    <row r="410" ht="15.75" customHeight="1">
      <c r="E410" s="16"/>
    </row>
    <row r="411" ht="15.75" customHeight="1">
      <c r="E411" s="16"/>
    </row>
    <row r="412" ht="15.75" customHeight="1">
      <c r="E412" s="16"/>
    </row>
    <row r="413" ht="15.75" customHeight="1">
      <c r="E413" s="16"/>
    </row>
    <row r="414" ht="15.75" customHeight="1">
      <c r="E414" s="16"/>
    </row>
    <row r="415" ht="15.75" customHeight="1">
      <c r="E415" s="16"/>
    </row>
    <row r="416" ht="15.75" customHeight="1">
      <c r="E416" s="16"/>
    </row>
    <row r="417" ht="15.75" customHeight="1">
      <c r="E417" s="16"/>
    </row>
    <row r="418" ht="15.75" customHeight="1">
      <c r="E418" s="16"/>
    </row>
    <row r="419" ht="15.75" customHeight="1">
      <c r="E419" s="16"/>
    </row>
    <row r="420" ht="15.75" customHeight="1">
      <c r="E420" s="16"/>
    </row>
    <row r="421" ht="15.75" customHeight="1">
      <c r="E421" s="16"/>
    </row>
    <row r="422" ht="15.75" customHeight="1">
      <c r="E422" s="16"/>
    </row>
    <row r="423" ht="15.75" customHeight="1">
      <c r="E423" s="16"/>
    </row>
    <row r="424" ht="15.75" customHeight="1">
      <c r="E424" s="16"/>
    </row>
    <row r="425" ht="15.75" customHeight="1">
      <c r="E425" s="16"/>
    </row>
    <row r="426" ht="15.75" customHeight="1">
      <c r="E426" s="16"/>
    </row>
    <row r="427" ht="15.75" customHeight="1">
      <c r="E427" s="16"/>
    </row>
    <row r="428" ht="15.75" customHeight="1">
      <c r="E428" s="16"/>
    </row>
    <row r="429" ht="15.75" customHeight="1">
      <c r="E429" s="16"/>
    </row>
    <row r="430" ht="15.75" customHeight="1">
      <c r="E430" s="16"/>
    </row>
    <row r="431" ht="15.75" customHeight="1">
      <c r="E431" s="16"/>
    </row>
    <row r="432" ht="15.75" customHeight="1">
      <c r="E432" s="16"/>
    </row>
    <row r="433" ht="15.75" customHeight="1">
      <c r="E433" s="16"/>
    </row>
    <row r="434" ht="15.75" customHeight="1">
      <c r="E434" s="16"/>
    </row>
    <row r="435" ht="15.75" customHeight="1">
      <c r="E435" s="16"/>
    </row>
    <row r="436" ht="15.75" customHeight="1">
      <c r="E436" s="16"/>
    </row>
    <row r="437" ht="15.75" customHeight="1">
      <c r="E437" s="16"/>
    </row>
    <row r="438" ht="15.75" customHeight="1">
      <c r="E438" s="16"/>
    </row>
    <row r="439" ht="15.75" customHeight="1">
      <c r="E439" s="16"/>
    </row>
    <row r="440" ht="15.75" customHeight="1">
      <c r="E440" s="16"/>
    </row>
    <row r="441" ht="15.75" customHeight="1">
      <c r="E441" s="16"/>
    </row>
    <row r="442" ht="15.75" customHeight="1">
      <c r="E442" s="16"/>
    </row>
    <row r="443" ht="15.75" customHeight="1">
      <c r="E443" s="16"/>
    </row>
    <row r="444" ht="15.75" customHeight="1">
      <c r="E444" s="16"/>
    </row>
    <row r="445" ht="15.75" customHeight="1">
      <c r="E445" s="16"/>
    </row>
    <row r="446" ht="15.75" customHeight="1">
      <c r="E446" s="16"/>
    </row>
    <row r="447" ht="15.75" customHeight="1">
      <c r="E447" s="16"/>
    </row>
    <row r="448" ht="15.75" customHeight="1">
      <c r="E448" s="16"/>
    </row>
    <row r="449" ht="15.75" customHeight="1">
      <c r="E449" s="16"/>
    </row>
    <row r="450" ht="15.75" customHeight="1">
      <c r="E450" s="16"/>
    </row>
    <row r="451" ht="15.75" customHeight="1">
      <c r="E451" s="16"/>
    </row>
    <row r="452" ht="15.75" customHeight="1">
      <c r="E452" s="16"/>
    </row>
    <row r="453" ht="15.75" customHeight="1">
      <c r="E453" s="16"/>
    </row>
    <row r="454" ht="15.75" customHeight="1">
      <c r="E454" s="16"/>
    </row>
    <row r="455" ht="15.75" customHeight="1">
      <c r="E455" s="16"/>
    </row>
    <row r="456" ht="15.75" customHeight="1">
      <c r="E456" s="16"/>
    </row>
    <row r="457" ht="15.75" customHeight="1">
      <c r="E457" s="16"/>
    </row>
    <row r="458" ht="15.75" customHeight="1">
      <c r="E458" s="16"/>
    </row>
    <row r="459" ht="15.75" customHeight="1">
      <c r="E459" s="16"/>
    </row>
    <row r="460" ht="15.75" customHeight="1">
      <c r="E460" s="16"/>
    </row>
    <row r="461" ht="15.75" customHeight="1">
      <c r="E461" s="16"/>
    </row>
    <row r="462" ht="15.75" customHeight="1">
      <c r="E462" s="16"/>
    </row>
    <row r="463" ht="15.75" customHeight="1">
      <c r="E463" s="16"/>
    </row>
    <row r="464" ht="15.75" customHeight="1">
      <c r="E464" s="16"/>
    </row>
    <row r="465" ht="15.75" customHeight="1">
      <c r="E465" s="16"/>
    </row>
    <row r="466" ht="15.75" customHeight="1">
      <c r="E466" s="16"/>
    </row>
    <row r="467" ht="15.75" customHeight="1">
      <c r="E467" s="16"/>
    </row>
    <row r="468" ht="15.75" customHeight="1">
      <c r="E468" s="16"/>
    </row>
    <row r="469" ht="15.75" customHeight="1">
      <c r="E469" s="16"/>
    </row>
    <row r="470" ht="15.75" customHeight="1">
      <c r="E470" s="16"/>
    </row>
    <row r="471" ht="15.75" customHeight="1">
      <c r="E471" s="16"/>
    </row>
    <row r="472" ht="15.75" customHeight="1">
      <c r="E472" s="16"/>
    </row>
    <row r="473" ht="15.75" customHeight="1">
      <c r="E473" s="16"/>
    </row>
    <row r="474" ht="15.75" customHeight="1">
      <c r="E474" s="16"/>
    </row>
    <row r="475" ht="15.75" customHeight="1">
      <c r="E475" s="16"/>
    </row>
    <row r="476" ht="15.75" customHeight="1">
      <c r="E476" s="16"/>
    </row>
    <row r="477" ht="15.75" customHeight="1">
      <c r="E477" s="16"/>
    </row>
    <row r="478" ht="15.75" customHeight="1">
      <c r="E478" s="16"/>
    </row>
    <row r="479" ht="15.75" customHeight="1">
      <c r="E479" s="16"/>
    </row>
    <row r="480" ht="15.75" customHeight="1">
      <c r="E480" s="16"/>
    </row>
    <row r="481" ht="15.75" customHeight="1">
      <c r="E481" s="16"/>
    </row>
    <row r="482" ht="15.75" customHeight="1">
      <c r="E482" s="16"/>
    </row>
    <row r="483" ht="15.75" customHeight="1">
      <c r="E483" s="16"/>
    </row>
    <row r="484" ht="15.75" customHeight="1">
      <c r="E484" s="16"/>
    </row>
    <row r="485" ht="15.75" customHeight="1">
      <c r="E485" s="16"/>
    </row>
    <row r="486" ht="15.75" customHeight="1">
      <c r="E486" s="16"/>
    </row>
    <row r="487" ht="15.75" customHeight="1">
      <c r="E487" s="16"/>
    </row>
    <row r="488" ht="15.75" customHeight="1">
      <c r="E488" s="16"/>
    </row>
    <row r="489" ht="15.75" customHeight="1">
      <c r="E489" s="16"/>
    </row>
    <row r="490" ht="15.75" customHeight="1">
      <c r="E490" s="16"/>
    </row>
    <row r="491" ht="15.75" customHeight="1">
      <c r="E491" s="16"/>
    </row>
    <row r="492" ht="15.75" customHeight="1">
      <c r="E492" s="16"/>
    </row>
    <row r="493" ht="15.75" customHeight="1">
      <c r="E493" s="16"/>
    </row>
    <row r="494" ht="15.75" customHeight="1">
      <c r="E494" s="16"/>
    </row>
    <row r="495" ht="15.75" customHeight="1">
      <c r="E495" s="16"/>
    </row>
    <row r="496" ht="15.75" customHeight="1">
      <c r="E496" s="16"/>
    </row>
    <row r="497" ht="15.75" customHeight="1">
      <c r="E497" s="16"/>
    </row>
    <row r="498" ht="15.75" customHeight="1">
      <c r="E498" s="16"/>
    </row>
    <row r="499" ht="15.75" customHeight="1">
      <c r="E499" s="16"/>
    </row>
    <row r="500" ht="15.75" customHeight="1">
      <c r="E500" s="16"/>
    </row>
    <row r="501" ht="15.75" customHeight="1">
      <c r="E501" s="16"/>
    </row>
    <row r="502" ht="15.75" customHeight="1">
      <c r="E502" s="16"/>
    </row>
    <row r="503" ht="15.75" customHeight="1">
      <c r="E503" s="16"/>
    </row>
    <row r="504" ht="15.75" customHeight="1">
      <c r="E504" s="16"/>
    </row>
    <row r="505" ht="15.75" customHeight="1">
      <c r="E505" s="16"/>
    </row>
    <row r="506" ht="15.75" customHeight="1">
      <c r="E506" s="16"/>
    </row>
    <row r="507" ht="15.75" customHeight="1">
      <c r="E507" s="16"/>
    </row>
    <row r="508" ht="15.75" customHeight="1">
      <c r="E508" s="16"/>
    </row>
    <row r="509" ht="15.75" customHeight="1">
      <c r="E509" s="16"/>
    </row>
    <row r="510" ht="15.75" customHeight="1">
      <c r="E510" s="16"/>
    </row>
    <row r="511" ht="15.75" customHeight="1">
      <c r="E511" s="16"/>
    </row>
    <row r="512" ht="15.75" customHeight="1">
      <c r="E512" s="16"/>
    </row>
    <row r="513" ht="15.75" customHeight="1">
      <c r="E513" s="16"/>
    </row>
    <row r="514" ht="15.75" customHeight="1">
      <c r="E514" s="16"/>
    </row>
    <row r="515" ht="15.75" customHeight="1">
      <c r="E515" s="16"/>
    </row>
    <row r="516" ht="15.75" customHeight="1">
      <c r="E516" s="16"/>
    </row>
    <row r="517" ht="15.75" customHeight="1">
      <c r="E517" s="16"/>
    </row>
    <row r="518" ht="15.75" customHeight="1">
      <c r="E518" s="16"/>
    </row>
    <row r="519" ht="15.75" customHeight="1">
      <c r="E519" s="16"/>
    </row>
    <row r="520" ht="15.75" customHeight="1">
      <c r="E520" s="16"/>
    </row>
    <row r="521" ht="15.75" customHeight="1">
      <c r="E521" s="16"/>
    </row>
    <row r="522" ht="15.75" customHeight="1">
      <c r="E522" s="16"/>
    </row>
    <row r="523" ht="15.75" customHeight="1">
      <c r="E523" s="16"/>
    </row>
    <row r="524" ht="15.75" customHeight="1">
      <c r="E524" s="16"/>
    </row>
    <row r="525" ht="15.75" customHeight="1">
      <c r="E525" s="16"/>
    </row>
    <row r="526" ht="15.75" customHeight="1">
      <c r="E526" s="16"/>
    </row>
    <row r="527" ht="15.75" customHeight="1">
      <c r="E527" s="16"/>
    </row>
    <row r="528" ht="15.75" customHeight="1">
      <c r="E528" s="16"/>
    </row>
    <row r="529" ht="15.75" customHeight="1">
      <c r="E529" s="16"/>
    </row>
    <row r="530" ht="15.75" customHeight="1">
      <c r="E530" s="16"/>
    </row>
    <row r="531" ht="15.75" customHeight="1">
      <c r="E531" s="16"/>
    </row>
    <row r="532" ht="15.75" customHeight="1">
      <c r="E532" s="16"/>
    </row>
    <row r="533" ht="15.75" customHeight="1">
      <c r="E533" s="16"/>
    </row>
    <row r="534" ht="15.75" customHeight="1">
      <c r="E534" s="16"/>
    </row>
    <row r="535" ht="15.75" customHeight="1">
      <c r="E535" s="16"/>
    </row>
    <row r="536" ht="15.75" customHeight="1">
      <c r="E536" s="16"/>
    </row>
    <row r="537" ht="15.75" customHeight="1">
      <c r="E537" s="16"/>
    </row>
    <row r="538" ht="15.75" customHeight="1">
      <c r="E538" s="16"/>
    </row>
    <row r="539" ht="15.75" customHeight="1">
      <c r="E539" s="16"/>
    </row>
    <row r="540" ht="15.75" customHeight="1">
      <c r="E540" s="16"/>
    </row>
    <row r="541" ht="15.75" customHeight="1">
      <c r="E541" s="16"/>
    </row>
    <row r="542" ht="15.75" customHeight="1">
      <c r="E542" s="16"/>
    </row>
    <row r="543" ht="15.75" customHeight="1">
      <c r="E543" s="16"/>
    </row>
    <row r="544" ht="15.75" customHeight="1">
      <c r="E544" s="16"/>
    </row>
    <row r="545" ht="15.75" customHeight="1">
      <c r="E545" s="16"/>
    </row>
    <row r="546" ht="15.75" customHeight="1">
      <c r="E546" s="16"/>
    </row>
    <row r="547" ht="15.75" customHeight="1">
      <c r="E547" s="16"/>
    </row>
    <row r="548" ht="15.75" customHeight="1">
      <c r="E548" s="16"/>
    </row>
    <row r="549" ht="15.75" customHeight="1">
      <c r="E549" s="16"/>
    </row>
    <row r="550" ht="15.75" customHeight="1">
      <c r="E550" s="16"/>
    </row>
    <row r="551" ht="15.75" customHeight="1">
      <c r="E551" s="16"/>
    </row>
    <row r="552" ht="15.75" customHeight="1">
      <c r="E552" s="16"/>
    </row>
    <row r="553" ht="15.75" customHeight="1">
      <c r="E553" s="16"/>
    </row>
    <row r="554" ht="15.75" customHeight="1">
      <c r="E554" s="16"/>
    </row>
    <row r="555" ht="15.75" customHeight="1">
      <c r="E555" s="16"/>
    </row>
    <row r="556" ht="15.75" customHeight="1">
      <c r="E556" s="16"/>
    </row>
    <row r="557" ht="15.75" customHeight="1">
      <c r="E557" s="16"/>
    </row>
    <row r="558" ht="15.75" customHeight="1">
      <c r="E558" s="16"/>
    </row>
    <row r="559" ht="15.75" customHeight="1">
      <c r="E559" s="16"/>
    </row>
    <row r="560" ht="15.75" customHeight="1">
      <c r="E560" s="16"/>
    </row>
    <row r="561" ht="15.75" customHeight="1">
      <c r="E561" s="16"/>
    </row>
    <row r="562" ht="15.75" customHeight="1">
      <c r="E562" s="16"/>
    </row>
    <row r="563" ht="15.75" customHeight="1">
      <c r="E563" s="16"/>
    </row>
    <row r="564" ht="15.75" customHeight="1">
      <c r="E564" s="16"/>
    </row>
    <row r="565" ht="15.75" customHeight="1">
      <c r="E565" s="16"/>
    </row>
    <row r="566" ht="15.75" customHeight="1">
      <c r="E566" s="16"/>
    </row>
    <row r="567" ht="15.75" customHeight="1">
      <c r="E567" s="16"/>
    </row>
    <row r="568" ht="15.75" customHeight="1">
      <c r="E568" s="16"/>
    </row>
    <row r="569" ht="15.75" customHeight="1">
      <c r="E569" s="16"/>
    </row>
    <row r="570" ht="15.75" customHeight="1">
      <c r="E570" s="16"/>
    </row>
    <row r="571" ht="15.75" customHeight="1">
      <c r="E571" s="16"/>
    </row>
    <row r="572" ht="15.75" customHeight="1">
      <c r="E572" s="16"/>
    </row>
    <row r="573" ht="15.75" customHeight="1">
      <c r="E573" s="16"/>
    </row>
    <row r="574" ht="15.75" customHeight="1">
      <c r="E574" s="16"/>
    </row>
    <row r="575" ht="15.75" customHeight="1">
      <c r="E575" s="16"/>
    </row>
    <row r="576" ht="15.75" customHeight="1">
      <c r="E576" s="16"/>
    </row>
    <row r="577" ht="15.75" customHeight="1">
      <c r="E577" s="16"/>
    </row>
    <row r="578" ht="15.75" customHeight="1">
      <c r="E578" s="16"/>
    </row>
    <row r="579" ht="15.75" customHeight="1">
      <c r="E579" s="16"/>
    </row>
    <row r="580" ht="15.75" customHeight="1">
      <c r="E580" s="16"/>
    </row>
    <row r="581" ht="15.75" customHeight="1">
      <c r="E581" s="16"/>
    </row>
    <row r="582" ht="15.75" customHeight="1">
      <c r="E582" s="16"/>
    </row>
    <row r="583" ht="15.75" customHeight="1">
      <c r="E583" s="16"/>
    </row>
    <row r="584" ht="15.75" customHeight="1">
      <c r="E584" s="16"/>
    </row>
    <row r="585" ht="15.75" customHeight="1">
      <c r="E585" s="16"/>
    </row>
    <row r="586" ht="15.75" customHeight="1">
      <c r="E586" s="16"/>
    </row>
    <row r="587" ht="15.75" customHeight="1">
      <c r="E587" s="16"/>
    </row>
    <row r="588" ht="15.75" customHeight="1">
      <c r="E588" s="16"/>
    </row>
    <row r="589" ht="15.75" customHeight="1">
      <c r="E589" s="16"/>
    </row>
    <row r="590" ht="15.75" customHeight="1">
      <c r="E590" s="16"/>
    </row>
    <row r="591" ht="15.75" customHeight="1">
      <c r="E591" s="16"/>
    </row>
    <row r="592" ht="15.75" customHeight="1">
      <c r="E592" s="16"/>
    </row>
    <row r="593" ht="15.75" customHeight="1">
      <c r="E593" s="16"/>
    </row>
    <row r="594" ht="15.75" customHeight="1">
      <c r="E594" s="16"/>
    </row>
    <row r="595" ht="15.75" customHeight="1">
      <c r="E595" s="16"/>
    </row>
    <row r="596" ht="15.75" customHeight="1">
      <c r="E596" s="16"/>
    </row>
    <row r="597" ht="15.75" customHeight="1">
      <c r="E597" s="16"/>
    </row>
    <row r="598" ht="15.75" customHeight="1">
      <c r="E598" s="16"/>
    </row>
    <row r="599" ht="15.75" customHeight="1">
      <c r="E599" s="16"/>
    </row>
    <row r="600" ht="15.75" customHeight="1">
      <c r="E600" s="16"/>
    </row>
    <row r="601" ht="15.75" customHeight="1">
      <c r="E601" s="16"/>
    </row>
    <row r="602" ht="15.75" customHeight="1">
      <c r="E602" s="16"/>
    </row>
    <row r="603" ht="15.75" customHeight="1">
      <c r="E603" s="16"/>
    </row>
    <row r="604" ht="15.75" customHeight="1">
      <c r="E604" s="16"/>
    </row>
    <row r="605" ht="15.75" customHeight="1">
      <c r="E605" s="16"/>
    </row>
    <row r="606" ht="15.75" customHeight="1">
      <c r="E606" s="16"/>
    </row>
    <row r="607" ht="15.75" customHeight="1">
      <c r="E607" s="16"/>
    </row>
    <row r="608" ht="15.75" customHeight="1">
      <c r="E608" s="16"/>
    </row>
    <row r="609" ht="15.75" customHeight="1">
      <c r="E609" s="16"/>
    </row>
    <row r="610" ht="15.75" customHeight="1">
      <c r="E610" s="16"/>
    </row>
    <row r="611" ht="15.75" customHeight="1">
      <c r="E611" s="16"/>
    </row>
    <row r="612" ht="15.75" customHeight="1">
      <c r="E612" s="16"/>
    </row>
    <row r="613" ht="15.75" customHeight="1">
      <c r="E613" s="16"/>
    </row>
    <row r="614" ht="15.75" customHeight="1">
      <c r="E614" s="16"/>
    </row>
    <row r="615" ht="15.75" customHeight="1">
      <c r="E615" s="16"/>
    </row>
    <row r="616" ht="15.75" customHeight="1">
      <c r="E616" s="16"/>
    </row>
    <row r="617" ht="15.75" customHeight="1">
      <c r="E617" s="16"/>
    </row>
    <row r="618" ht="15.75" customHeight="1">
      <c r="E618" s="16"/>
    </row>
    <row r="619" ht="15.75" customHeight="1">
      <c r="E619" s="16"/>
    </row>
    <row r="620" ht="15.75" customHeight="1">
      <c r="E620" s="16"/>
    </row>
    <row r="621" ht="15.75" customHeight="1">
      <c r="E621" s="16"/>
    </row>
    <row r="622" ht="15.75" customHeight="1">
      <c r="E622" s="16"/>
    </row>
    <row r="623" ht="15.75" customHeight="1">
      <c r="E623" s="16"/>
    </row>
    <row r="624" ht="15.75" customHeight="1">
      <c r="E624" s="16"/>
    </row>
    <row r="625" ht="15.75" customHeight="1">
      <c r="E625" s="16"/>
    </row>
    <row r="626" ht="15.75" customHeight="1">
      <c r="E626" s="16"/>
    </row>
    <row r="627" ht="15.75" customHeight="1">
      <c r="E627" s="16"/>
    </row>
    <row r="628" ht="15.75" customHeight="1">
      <c r="E628" s="16"/>
    </row>
    <row r="629" ht="15.75" customHeight="1">
      <c r="E629" s="16"/>
    </row>
    <row r="630" ht="15.75" customHeight="1">
      <c r="E630" s="16"/>
    </row>
    <row r="631" ht="15.75" customHeight="1">
      <c r="E631" s="16"/>
    </row>
    <row r="632" ht="15.75" customHeight="1">
      <c r="E632" s="16"/>
    </row>
    <row r="633" ht="15.75" customHeight="1">
      <c r="E633" s="16"/>
    </row>
    <row r="634" ht="15.75" customHeight="1">
      <c r="E634" s="16"/>
    </row>
    <row r="635" ht="15.75" customHeight="1">
      <c r="E635" s="16"/>
    </row>
    <row r="636" ht="15.75" customHeight="1">
      <c r="E636" s="16"/>
    </row>
    <row r="637" ht="15.75" customHeight="1">
      <c r="E637" s="16"/>
    </row>
    <row r="638" ht="15.75" customHeight="1">
      <c r="E638" s="16"/>
    </row>
    <row r="639" ht="15.75" customHeight="1">
      <c r="E639" s="16"/>
    </row>
    <row r="640" ht="15.75" customHeight="1">
      <c r="E640" s="16"/>
    </row>
    <row r="641" ht="15.75" customHeight="1">
      <c r="E641" s="16"/>
    </row>
    <row r="642" ht="15.75" customHeight="1">
      <c r="E642" s="16"/>
    </row>
    <row r="643" ht="15.75" customHeight="1">
      <c r="E643" s="16"/>
    </row>
    <row r="644" ht="15.75" customHeight="1">
      <c r="E644" s="16"/>
    </row>
    <row r="645" ht="15.75" customHeight="1">
      <c r="E645" s="16"/>
    </row>
    <row r="646" ht="15.75" customHeight="1">
      <c r="E646" s="16"/>
    </row>
    <row r="647" ht="15.75" customHeight="1">
      <c r="E647" s="16"/>
    </row>
    <row r="648" ht="15.75" customHeight="1">
      <c r="E648" s="16"/>
    </row>
    <row r="649" ht="15.75" customHeight="1">
      <c r="E649" s="16"/>
    </row>
    <row r="650" ht="15.75" customHeight="1">
      <c r="E650" s="16"/>
    </row>
    <row r="651" ht="15.75" customHeight="1">
      <c r="E651" s="16"/>
    </row>
    <row r="652" ht="15.75" customHeight="1">
      <c r="E652" s="16"/>
    </row>
    <row r="653" ht="15.75" customHeight="1">
      <c r="E653" s="16"/>
    </row>
    <row r="654" ht="15.75" customHeight="1">
      <c r="E654" s="16"/>
    </row>
    <row r="655" ht="15.75" customHeight="1">
      <c r="E655" s="16"/>
    </row>
    <row r="656" ht="15.75" customHeight="1">
      <c r="E656" s="16"/>
    </row>
    <row r="657" ht="15.75" customHeight="1">
      <c r="E657" s="16"/>
    </row>
    <row r="658" ht="15.75" customHeight="1">
      <c r="E658" s="16"/>
    </row>
    <row r="659" ht="15.75" customHeight="1">
      <c r="E659" s="16"/>
    </row>
    <row r="660" ht="15.75" customHeight="1">
      <c r="E660" s="16"/>
    </row>
    <row r="661" ht="15.75" customHeight="1">
      <c r="E661" s="16"/>
    </row>
    <row r="662" ht="15.75" customHeight="1">
      <c r="E662" s="16"/>
    </row>
    <row r="663" ht="15.75" customHeight="1">
      <c r="E663" s="16"/>
    </row>
    <row r="664" ht="15.75" customHeight="1">
      <c r="E664" s="16"/>
    </row>
    <row r="665" ht="15.75" customHeight="1">
      <c r="E665" s="16"/>
    </row>
    <row r="666" ht="15.75" customHeight="1">
      <c r="E666" s="16"/>
    </row>
    <row r="667" ht="15.75" customHeight="1">
      <c r="E667" s="16"/>
    </row>
    <row r="668" ht="15.75" customHeight="1">
      <c r="E668" s="16"/>
    </row>
    <row r="669" ht="15.75" customHeight="1">
      <c r="E669" s="16"/>
    </row>
    <row r="670" ht="15.75" customHeight="1">
      <c r="E670" s="16"/>
    </row>
    <row r="671" ht="15.75" customHeight="1">
      <c r="E671" s="16"/>
    </row>
    <row r="672" ht="15.75" customHeight="1">
      <c r="E672" s="16"/>
    </row>
    <row r="673" ht="15.75" customHeight="1">
      <c r="E673" s="16"/>
    </row>
    <row r="674" ht="15.75" customHeight="1">
      <c r="E674" s="16"/>
    </row>
    <row r="675" ht="15.75" customHeight="1">
      <c r="E675" s="16"/>
    </row>
    <row r="676" ht="15.75" customHeight="1">
      <c r="E676" s="16"/>
    </row>
    <row r="677" ht="15.75" customHeight="1">
      <c r="E677" s="16"/>
    </row>
    <row r="678" ht="15.75" customHeight="1">
      <c r="E678" s="16"/>
    </row>
    <row r="679" ht="15.75" customHeight="1">
      <c r="E679" s="16"/>
    </row>
    <row r="680" ht="15.75" customHeight="1">
      <c r="E680" s="16"/>
    </row>
    <row r="681" ht="15.75" customHeight="1">
      <c r="E681" s="16"/>
    </row>
    <row r="682" ht="15.75" customHeight="1">
      <c r="E682" s="16"/>
    </row>
    <row r="683" ht="15.75" customHeight="1">
      <c r="E683" s="16"/>
    </row>
    <row r="684" ht="15.75" customHeight="1">
      <c r="E684" s="16"/>
    </row>
    <row r="685" ht="15.75" customHeight="1">
      <c r="E685" s="16"/>
    </row>
    <row r="686" ht="15.75" customHeight="1">
      <c r="E686" s="16"/>
    </row>
    <row r="687" ht="15.75" customHeight="1">
      <c r="E687" s="16"/>
    </row>
    <row r="688" ht="15.75" customHeight="1">
      <c r="E688" s="16"/>
    </row>
    <row r="689" ht="15.75" customHeight="1">
      <c r="E689" s="16"/>
    </row>
    <row r="690" ht="15.75" customHeight="1">
      <c r="E690" s="16"/>
    </row>
    <row r="691" ht="15.75" customHeight="1">
      <c r="E691" s="16"/>
    </row>
    <row r="692" ht="15.75" customHeight="1">
      <c r="E692" s="16"/>
    </row>
    <row r="693" ht="15.75" customHeight="1">
      <c r="E693" s="16"/>
    </row>
    <row r="694" ht="15.75" customHeight="1">
      <c r="E694" s="16"/>
    </row>
    <row r="695" ht="15.75" customHeight="1">
      <c r="E695" s="16"/>
    </row>
    <row r="696" ht="15.75" customHeight="1">
      <c r="E696" s="16"/>
    </row>
    <row r="697" ht="15.75" customHeight="1">
      <c r="E697" s="16"/>
    </row>
    <row r="698" ht="15.75" customHeight="1">
      <c r="E698" s="16"/>
    </row>
    <row r="699" ht="15.75" customHeight="1">
      <c r="E699" s="16"/>
    </row>
    <row r="700" ht="15.75" customHeight="1">
      <c r="E700" s="16"/>
    </row>
    <row r="701" ht="15.75" customHeight="1">
      <c r="E701" s="16"/>
    </row>
    <row r="702" ht="15.75" customHeight="1">
      <c r="E702" s="16"/>
    </row>
    <row r="703" ht="15.75" customHeight="1">
      <c r="E703" s="16"/>
    </row>
    <row r="704" ht="15.75" customHeight="1">
      <c r="E704" s="16"/>
    </row>
    <row r="705" ht="15.75" customHeight="1">
      <c r="E705" s="16"/>
    </row>
    <row r="706" ht="15.75" customHeight="1">
      <c r="E706" s="16"/>
    </row>
    <row r="707" ht="15.75" customHeight="1">
      <c r="E707" s="16"/>
    </row>
    <row r="708" ht="15.75" customHeight="1">
      <c r="E708" s="16"/>
    </row>
    <row r="709" ht="15.75" customHeight="1">
      <c r="E709" s="16"/>
    </row>
    <row r="710" ht="15.75" customHeight="1">
      <c r="E710" s="16"/>
    </row>
    <row r="711" ht="15.75" customHeight="1">
      <c r="E711" s="16"/>
    </row>
    <row r="712" ht="15.75" customHeight="1">
      <c r="E712" s="16"/>
    </row>
    <row r="713" ht="15.75" customHeight="1">
      <c r="E713" s="16"/>
    </row>
    <row r="714" ht="15.75" customHeight="1">
      <c r="E714" s="16"/>
    </row>
    <row r="715" ht="15.75" customHeight="1">
      <c r="E715" s="16"/>
    </row>
    <row r="716" ht="15.75" customHeight="1">
      <c r="E716" s="16"/>
    </row>
    <row r="717" ht="15.75" customHeight="1">
      <c r="E717" s="16"/>
    </row>
    <row r="718" ht="15.75" customHeight="1">
      <c r="E718" s="16"/>
    </row>
    <row r="719" ht="15.75" customHeight="1">
      <c r="E719" s="16"/>
    </row>
    <row r="720" ht="15.75" customHeight="1">
      <c r="E720" s="16"/>
    </row>
    <row r="721" ht="15.75" customHeight="1">
      <c r="E721" s="16"/>
    </row>
    <row r="722" ht="15.75" customHeight="1">
      <c r="E722" s="16"/>
    </row>
    <row r="723" ht="15.75" customHeight="1">
      <c r="E723" s="16"/>
    </row>
    <row r="724" ht="15.75" customHeight="1">
      <c r="E724" s="16"/>
    </row>
    <row r="725" ht="15.75" customHeight="1">
      <c r="E725" s="16"/>
    </row>
    <row r="726" ht="15.75" customHeight="1">
      <c r="E726" s="16"/>
    </row>
    <row r="727" ht="15.75" customHeight="1">
      <c r="E727" s="16"/>
    </row>
    <row r="728" ht="15.75" customHeight="1">
      <c r="E728" s="16"/>
    </row>
    <row r="729" ht="15.75" customHeight="1">
      <c r="E729" s="16"/>
    </row>
    <row r="730" ht="15.75" customHeight="1">
      <c r="E730" s="16"/>
    </row>
    <row r="731" ht="15.75" customHeight="1">
      <c r="E731" s="16"/>
    </row>
    <row r="732" ht="15.75" customHeight="1">
      <c r="E732" s="16"/>
    </row>
    <row r="733" ht="15.75" customHeight="1">
      <c r="E733" s="16"/>
    </row>
    <row r="734" ht="15.75" customHeight="1">
      <c r="E734" s="16"/>
    </row>
    <row r="735" ht="15.75" customHeight="1">
      <c r="E735" s="16"/>
    </row>
    <row r="736" ht="15.75" customHeight="1">
      <c r="E736" s="16"/>
    </row>
    <row r="737" ht="15.75" customHeight="1">
      <c r="E737" s="16"/>
    </row>
    <row r="738" ht="15.75" customHeight="1">
      <c r="E738" s="16"/>
    </row>
    <row r="739" ht="15.75" customHeight="1">
      <c r="E739" s="16"/>
    </row>
    <row r="740" ht="15.75" customHeight="1">
      <c r="E740" s="16"/>
    </row>
    <row r="741" ht="15.75" customHeight="1">
      <c r="E741" s="16"/>
    </row>
    <row r="742" ht="15.75" customHeight="1">
      <c r="E742" s="16"/>
    </row>
    <row r="743" ht="15.75" customHeight="1">
      <c r="E743" s="16"/>
    </row>
    <row r="744" ht="15.75" customHeight="1">
      <c r="E744" s="16"/>
    </row>
    <row r="745" ht="15.75" customHeight="1">
      <c r="E745" s="16"/>
    </row>
    <row r="746" ht="15.75" customHeight="1">
      <c r="E746" s="16"/>
    </row>
    <row r="747" ht="15.75" customHeight="1">
      <c r="E747" s="16"/>
    </row>
    <row r="748" ht="15.75" customHeight="1">
      <c r="E748" s="16"/>
    </row>
    <row r="749" ht="15.75" customHeight="1">
      <c r="E749" s="16"/>
    </row>
    <row r="750" ht="15.75" customHeight="1">
      <c r="E750" s="16"/>
    </row>
    <row r="751" ht="15.75" customHeight="1">
      <c r="E751" s="16"/>
    </row>
    <row r="752" ht="15.75" customHeight="1">
      <c r="E752" s="16"/>
    </row>
    <row r="753" ht="15.75" customHeight="1">
      <c r="E753" s="16"/>
    </row>
    <row r="754" ht="15.75" customHeight="1">
      <c r="E754" s="16"/>
    </row>
    <row r="755" ht="15.75" customHeight="1">
      <c r="E755" s="16"/>
    </row>
    <row r="756" ht="15.75" customHeight="1">
      <c r="E756" s="16"/>
    </row>
    <row r="757" ht="15.75" customHeight="1">
      <c r="E757" s="16"/>
    </row>
    <row r="758" ht="15.75" customHeight="1">
      <c r="E758" s="16"/>
    </row>
    <row r="759" ht="15.75" customHeight="1">
      <c r="E759" s="16"/>
    </row>
    <row r="760" ht="15.75" customHeight="1">
      <c r="E760" s="16"/>
    </row>
    <row r="761" ht="15.75" customHeight="1">
      <c r="E761" s="16"/>
    </row>
    <row r="762" ht="15.75" customHeight="1">
      <c r="E762" s="16"/>
    </row>
    <row r="763" ht="15.75" customHeight="1">
      <c r="E763" s="16"/>
    </row>
    <row r="764" ht="15.75" customHeight="1">
      <c r="E764" s="16"/>
    </row>
    <row r="765" ht="15.75" customHeight="1">
      <c r="E765" s="16"/>
    </row>
    <row r="766" ht="15.75" customHeight="1">
      <c r="E766" s="16"/>
    </row>
    <row r="767" ht="15.75" customHeight="1">
      <c r="E767" s="16"/>
    </row>
    <row r="768" ht="15.75" customHeight="1">
      <c r="E768" s="16"/>
    </row>
    <row r="769" ht="15.75" customHeight="1">
      <c r="E769" s="16"/>
    </row>
    <row r="770" ht="15.75" customHeight="1">
      <c r="E770" s="16"/>
    </row>
    <row r="771" ht="15.75" customHeight="1">
      <c r="E771" s="16"/>
    </row>
    <row r="772" ht="15.75" customHeight="1">
      <c r="E772" s="16"/>
    </row>
    <row r="773" ht="15.75" customHeight="1">
      <c r="E773" s="16"/>
    </row>
    <row r="774" ht="15.75" customHeight="1">
      <c r="E774" s="16"/>
    </row>
    <row r="775" ht="15.75" customHeight="1">
      <c r="E775" s="16"/>
    </row>
    <row r="776" ht="15.75" customHeight="1">
      <c r="E776" s="16"/>
    </row>
    <row r="777" ht="15.75" customHeight="1">
      <c r="E777" s="16"/>
    </row>
    <row r="778" ht="15.75" customHeight="1">
      <c r="E778" s="16"/>
    </row>
    <row r="779" ht="15.75" customHeight="1">
      <c r="E779" s="16"/>
    </row>
    <row r="780" ht="15.75" customHeight="1">
      <c r="E780" s="16"/>
    </row>
    <row r="781" ht="15.75" customHeight="1">
      <c r="E781" s="16"/>
    </row>
    <row r="782" ht="15.75" customHeight="1">
      <c r="E782" s="16"/>
    </row>
    <row r="783" ht="15.75" customHeight="1">
      <c r="E783" s="16"/>
    </row>
    <row r="784" ht="15.75" customHeight="1">
      <c r="E784" s="16"/>
    </row>
    <row r="785" ht="15.75" customHeight="1">
      <c r="E785" s="16"/>
    </row>
    <row r="786" ht="15.75" customHeight="1">
      <c r="E786" s="16"/>
    </row>
    <row r="787" ht="15.75" customHeight="1">
      <c r="E787" s="16"/>
    </row>
    <row r="788" ht="15.75" customHeight="1">
      <c r="E788" s="16"/>
    </row>
    <row r="789" ht="15.75" customHeight="1">
      <c r="E789" s="16"/>
    </row>
    <row r="790" ht="15.75" customHeight="1">
      <c r="E790" s="16"/>
    </row>
    <row r="791" ht="15.75" customHeight="1">
      <c r="E791" s="16"/>
    </row>
    <row r="792" ht="15.75" customHeight="1">
      <c r="E792" s="16"/>
    </row>
    <row r="793" ht="15.75" customHeight="1">
      <c r="E793" s="16"/>
    </row>
    <row r="794" ht="15.75" customHeight="1">
      <c r="E794" s="16"/>
    </row>
    <row r="795" ht="15.75" customHeight="1">
      <c r="E795" s="16"/>
    </row>
    <row r="796" ht="15.75" customHeight="1">
      <c r="E796" s="16"/>
    </row>
    <row r="797" ht="15.75" customHeight="1">
      <c r="E797" s="16"/>
    </row>
    <row r="798" ht="15.75" customHeight="1">
      <c r="E798" s="16"/>
    </row>
    <row r="799" ht="15.75" customHeight="1">
      <c r="E799" s="16"/>
    </row>
    <row r="800" ht="15.75" customHeight="1">
      <c r="E800" s="16"/>
    </row>
    <row r="801" ht="15.75" customHeight="1">
      <c r="E801" s="16"/>
    </row>
    <row r="802" ht="15.75" customHeight="1">
      <c r="E802" s="16"/>
    </row>
    <row r="803" ht="15.75" customHeight="1">
      <c r="E803" s="16"/>
    </row>
    <row r="804" ht="15.75" customHeight="1">
      <c r="E804" s="16"/>
    </row>
    <row r="805" ht="15.75" customHeight="1">
      <c r="E805" s="16"/>
    </row>
    <row r="806" ht="15.75" customHeight="1">
      <c r="E806" s="16"/>
    </row>
    <row r="807" ht="15.75" customHeight="1">
      <c r="E807" s="16"/>
    </row>
    <row r="808" ht="15.75" customHeight="1">
      <c r="E808" s="16"/>
    </row>
    <row r="809" ht="15.75" customHeight="1">
      <c r="E809" s="16"/>
    </row>
    <row r="810" ht="15.75" customHeight="1">
      <c r="E810" s="16"/>
    </row>
    <row r="811" ht="15.75" customHeight="1">
      <c r="E811" s="16"/>
    </row>
    <row r="812" ht="15.75" customHeight="1">
      <c r="E812" s="16"/>
    </row>
    <row r="813" ht="15.75" customHeight="1">
      <c r="E813" s="16"/>
    </row>
    <row r="814" ht="15.75" customHeight="1">
      <c r="E814" s="16"/>
    </row>
    <row r="815" ht="15.75" customHeight="1">
      <c r="E815" s="16"/>
    </row>
    <row r="816" ht="15.75" customHeight="1">
      <c r="E816" s="16"/>
    </row>
    <row r="817" ht="15.75" customHeight="1">
      <c r="E817" s="16"/>
    </row>
    <row r="818" ht="15.75" customHeight="1">
      <c r="E818" s="16"/>
    </row>
    <row r="819" ht="15.75" customHeight="1">
      <c r="E819" s="16"/>
    </row>
    <row r="820" ht="15.75" customHeight="1">
      <c r="E820" s="16"/>
    </row>
    <row r="821" ht="15.75" customHeight="1">
      <c r="E821" s="16"/>
    </row>
    <row r="822" ht="15.75" customHeight="1">
      <c r="E822" s="16"/>
    </row>
    <row r="823" ht="15.75" customHeight="1">
      <c r="E823" s="16"/>
    </row>
    <row r="824" ht="15.75" customHeight="1">
      <c r="E824" s="16"/>
    </row>
    <row r="825" ht="15.75" customHeight="1">
      <c r="E825" s="16"/>
    </row>
    <row r="826" ht="15.75" customHeight="1">
      <c r="E826" s="16"/>
    </row>
    <row r="827" ht="15.75" customHeight="1">
      <c r="E827" s="16"/>
    </row>
    <row r="828" ht="15.75" customHeight="1">
      <c r="E828" s="16"/>
    </row>
    <row r="829" ht="15.75" customHeight="1">
      <c r="E829" s="16"/>
    </row>
    <row r="830" ht="15.75" customHeight="1">
      <c r="E830" s="16"/>
    </row>
    <row r="831" ht="15.75" customHeight="1">
      <c r="E831" s="16"/>
    </row>
    <row r="832" ht="15.75" customHeight="1">
      <c r="E832" s="16"/>
    </row>
    <row r="833" ht="15.75" customHeight="1">
      <c r="E833" s="16"/>
    </row>
    <row r="834" ht="15.75" customHeight="1">
      <c r="E834" s="16"/>
    </row>
    <row r="835" ht="15.75" customHeight="1">
      <c r="E835" s="16"/>
    </row>
    <row r="836" ht="15.75" customHeight="1">
      <c r="E836" s="16"/>
    </row>
    <row r="837" ht="15.75" customHeight="1">
      <c r="E837" s="16"/>
    </row>
    <row r="838" ht="15.75" customHeight="1">
      <c r="E838" s="16"/>
    </row>
    <row r="839" ht="15.75" customHeight="1">
      <c r="E839" s="16"/>
    </row>
    <row r="840" ht="15.75" customHeight="1">
      <c r="E840" s="16"/>
    </row>
    <row r="841" ht="15.75" customHeight="1">
      <c r="E841" s="16"/>
    </row>
    <row r="842" ht="15.75" customHeight="1">
      <c r="E842" s="16"/>
    </row>
    <row r="843" ht="15.75" customHeight="1">
      <c r="E843" s="16"/>
    </row>
    <row r="844" ht="15.75" customHeight="1">
      <c r="E844" s="16"/>
    </row>
    <row r="845" ht="15.75" customHeight="1">
      <c r="E845" s="16"/>
    </row>
    <row r="846" ht="15.75" customHeight="1">
      <c r="E846" s="16"/>
    </row>
    <row r="847" ht="15.75" customHeight="1">
      <c r="E847" s="16"/>
    </row>
    <row r="848" ht="15.75" customHeight="1">
      <c r="E848" s="16"/>
    </row>
    <row r="849" ht="15.75" customHeight="1">
      <c r="E849" s="16"/>
    </row>
    <row r="850" ht="15.75" customHeight="1">
      <c r="E850" s="16"/>
    </row>
    <row r="851" ht="15.75" customHeight="1">
      <c r="E851" s="16"/>
    </row>
    <row r="852" ht="15.75" customHeight="1">
      <c r="E852" s="16"/>
    </row>
    <row r="853" ht="15.75" customHeight="1">
      <c r="E853" s="16"/>
    </row>
    <row r="854" ht="15.75" customHeight="1">
      <c r="E854" s="16"/>
    </row>
    <row r="855" ht="15.75" customHeight="1">
      <c r="E855" s="16"/>
    </row>
    <row r="856" ht="15.75" customHeight="1">
      <c r="E856" s="16"/>
    </row>
    <row r="857" ht="15.75" customHeight="1">
      <c r="E857" s="16"/>
    </row>
    <row r="858" ht="15.75" customHeight="1">
      <c r="E858" s="16"/>
    </row>
    <row r="859" ht="15.75" customHeight="1">
      <c r="E859" s="16"/>
    </row>
    <row r="860" ht="15.75" customHeight="1">
      <c r="E860" s="16"/>
    </row>
    <row r="861" ht="15.75" customHeight="1">
      <c r="E861" s="16"/>
    </row>
    <row r="862" ht="15.75" customHeight="1">
      <c r="E862" s="16"/>
    </row>
    <row r="863" ht="15.75" customHeight="1">
      <c r="E863" s="16"/>
    </row>
    <row r="864" ht="15.75" customHeight="1">
      <c r="E864" s="16"/>
    </row>
    <row r="865" ht="15.75" customHeight="1">
      <c r="E865" s="16"/>
    </row>
    <row r="866" ht="15.75" customHeight="1">
      <c r="E866" s="16"/>
    </row>
    <row r="867" ht="15.75" customHeight="1">
      <c r="E867" s="16"/>
    </row>
    <row r="868" ht="15.75" customHeight="1">
      <c r="E868" s="16"/>
    </row>
    <row r="869" ht="15.75" customHeight="1">
      <c r="E869" s="16"/>
    </row>
    <row r="870" ht="15.75" customHeight="1">
      <c r="E870" s="16"/>
    </row>
    <row r="871" ht="15.75" customHeight="1">
      <c r="E871" s="16"/>
    </row>
    <row r="872" ht="15.75" customHeight="1">
      <c r="E872" s="16"/>
    </row>
    <row r="873" ht="15.75" customHeight="1">
      <c r="E873" s="16"/>
    </row>
    <row r="874" ht="15.75" customHeight="1">
      <c r="E874" s="16"/>
    </row>
    <row r="875" ht="15.75" customHeight="1">
      <c r="E875" s="16"/>
    </row>
    <row r="876" ht="15.75" customHeight="1">
      <c r="E876" s="16"/>
    </row>
    <row r="877" ht="15.75" customHeight="1">
      <c r="E877" s="16"/>
    </row>
    <row r="878" ht="15.75" customHeight="1">
      <c r="E878" s="16"/>
    </row>
    <row r="879" ht="15.75" customHeight="1">
      <c r="E879" s="16"/>
    </row>
    <row r="880" ht="15.75" customHeight="1">
      <c r="E880" s="16"/>
    </row>
    <row r="881" ht="15.75" customHeight="1">
      <c r="E881" s="16"/>
    </row>
    <row r="882" ht="15.75" customHeight="1">
      <c r="E882" s="16"/>
    </row>
    <row r="883" ht="15.75" customHeight="1">
      <c r="E883" s="16"/>
    </row>
    <row r="884" ht="15.75" customHeight="1">
      <c r="E884" s="16"/>
    </row>
    <row r="885" ht="15.75" customHeight="1">
      <c r="E885" s="16"/>
    </row>
    <row r="886" ht="15.75" customHeight="1">
      <c r="E886" s="16"/>
    </row>
    <row r="887" ht="15.75" customHeight="1">
      <c r="E887" s="16"/>
    </row>
    <row r="888" ht="15.75" customHeight="1">
      <c r="E888" s="16"/>
    </row>
    <row r="889" ht="15.75" customHeight="1">
      <c r="E889" s="16"/>
    </row>
    <row r="890" ht="15.75" customHeight="1">
      <c r="E890" s="16"/>
    </row>
    <row r="891" ht="15.75" customHeight="1">
      <c r="E891" s="16"/>
    </row>
    <row r="892" ht="15.75" customHeight="1">
      <c r="E892" s="16"/>
    </row>
    <row r="893" ht="15.75" customHeight="1">
      <c r="E893" s="16"/>
    </row>
    <row r="894" ht="15.75" customHeight="1">
      <c r="E894" s="16"/>
    </row>
    <row r="895" ht="15.75" customHeight="1">
      <c r="E895" s="16"/>
    </row>
    <row r="896" ht="15.75" customHeight="1">
      <c r="E896" s="16"/>
    </row>
    <row r="897" ht="15.75" customHeight="1">
      <c r="E897" s="16"/>
    </row>
    <row r="898" ht="15.75" customHeight="1">
      <c r="E898" s="16"/>
    </row>
    <row r="899" ht="15.75" customHeight="1">
      <c r="E899" s="16"/>
    </row>
    <row r="900" ht="15.75" customHeight="1">
      <c r="E900" s="16"/>
    </row>
    <row r="901" ht="15.75" customHeight="1">
      <c r="E901" s="16"/>
    </row>
    <row r="902" ht="15.75" customHeight="1">
      <c r="E902" s="16"/>
    </row>
    <row r="903" ht="15.75" customHeight="1">
      <c r="E903" s="16"/>
    </row>
    <row r="904" ht="15.75" customHeight="1">
      <c r="E904" s="16"/>
    </row>
    <row r="905" ht="15.75" customHeight="1">
      <c r="E905" s="16"/>
    </row>
    <row r="906" ht="15.75" customHeight="1">
      <c r="E906" s="16"/>
    </row>
    <row r="907" ht="15.75" customHeight="1">
      <c r="E907" s="16"/>
    </row>
    <row r="908" ht="15.75" customHeight="1">
      <c r="E908" s="16"/>
    </row>
    <row r="909" ht="15.75" customHeight="1">
      <c r="E909" s="16"/>
    </row>
    <row r="910" ht="15.75" customHeight="1">
      <c r="E910" s="16"/>
    </row>
    <row r="911" ht="15.75" customHeight="1">
      <c r="E911" s="16"/>
    </row>
    <row r="912" ht="15.75" customHeight="1">
      <c r="E912" s="16"/>
    </row>
    <row r="913" ht="15.75" customHeight="1">
      <c r="E913" s="16"/>
    </row>
    <row r="914" ht="15.75" customHeight="1">
      <c r="E914" s="16"/>
    </row>
    <row r="915" ht="15.75" customHeight="1">
      <c r="E915" s="16"/>
    </row>
    <row r="916" ht="15.75" customHeight="1">
      <c r="E916" s="16"/>
    </row>
    <row r="917" ht="15.75" customHeight="1">
      <c r="E917" s="16"/>
    </row>
    <row r="918" ht="15.75" customHeight="1">
      <c r="E918" s="16"/>
    </row>
    <row r="919" ht="15.75" customHeight="1">
      <c r="E919" s="16"/>
    </row>
    <row r="920" ht="15.75" customHeight="1">
      <c r="E920" s="16"/>
    </row>
    <row r="921" ht="15.75" customHeight="1">
      <c r="E921" s="16"/>
    </row>
    <row r="922" ht="15.75" customHeight="1">
      <c r="E922" s="16"/>
    </row>
    <row r="923" ht="15.75" customHeight="1">
      <c r="E923" s="16"/>
    </row>
    <row r="924" ht="15.75" customHeight="1">
      <c r="E924" s="16"/>
    </row>
    <row r="925" ht="15.75" customHeight="1">
      <c r="E925" s="16"/>
    </row>
    <row r="926" ht="15.75" customHeight="1">
      <c r="E926" s="16"/>
    </row>
    <row r="927" ht="15.75" customHeight="1">
      <c r="E927" s="16"/>
    </row>
    <row r="928" ht="15.75" customHeight="1">
      <c r="E928" s="16"/>
    </row>
    <row r="929" ht="15.75" customHeight="1">
      <c r="E929" s="16"/>
    </row>
    <row r="930" ht="15.75" customHeight="1">
      <c r="E930" s="16"/>
    </row>
    <row r="931" ht="15.75" customHeight="1">
      <c r="E931" s="16"/>
    </row>
    <row r="932" ht="15.75" customHeight="1">
      <c r="E932" s="16"/>
    </row>
    <row r="933" ht="15.75" customHeight="1">
      <c r="E933" s="16"/>
    </row>
    <row r="934" ht="15.75" customHeight="1">
      <c r="E934" s="16"/>
    </row>
    <row r="935" ht="15.75" customHeight="1">
      <c r="E935" s="16"/>
    </row>
    <row r="936" ht="15.75" customHeight="1">
      <c r="E936" s="16"/>
    </row>
    <row r="937" ht="15.75" customHeight="1">
      <c r="E937" s="16"/>
    </row>
    <row r="938" ht="15.75" customHeight="1">
      <c r="E938" s="16"/>
    </row>
    <row r="939" ht="15.75" customHeight="1">
      <c r="E939" s="16"/>
    </row>
    <row r="940" ht="15.75" customHeight="1">
      <c r="E940" s="16"/>
    </row>
    <row r="941" ht="15.75" customHeight="1">
      <c r="E941" s="16"/>
    </row>
    <row r="942" ht="15.75" customHeight="1">
      <c r="E942" s="16"/>
    </row>
    <row r="943" ht="15.75" customHeight="1">
      <c r="E943" s="16"/>
    </row>
    <row r="944" ht="15.75" customHeight="1">
      <c r="E944" s="16"/>
    </row>
    <row r="945" ht="15.75" customHeight="1">
      <c r="E945" s="16"/>
    </row>
    <row r="946" ht="15.75" customHeight="1">
      <c r="E946" s="16"/>
    </row>
    <row r="947" ht="15.75" customHeight="1">
      <c r="E947" s="16"/>
    </row>
    <row r="948" ht="15.75" customHeight="1">
      <c r="E948" s="16"/>
    </row>
    <row r="949" ht="15.75" customHeight="1">
      <c r="E949" s="16"/>
    </row>
    <row r="950" ht="15.75" customHeight="1">
      <c r="E950" s="16"/>
    </row>
    <row r="951" ht="15.75" customHeight="1">
      <c r="E951" s="16"/>
    </row>
    <row r="952" ht="15.75" customHeight="1">
      <c r="E952" s="16"/>
    </row>
    <row r="953" ht="15.75" customHeight="1">
      <c r="E953" s="16"/>
    </row>
    <row r="954" ht="15.75" customHeight="1">
      <c r="E954" s="16"/>
    </row>
    <row r="955" ht="15.75" customHeight="1">
      <c r="E955" s="16"/>
    </row>
    <row r="956" ht="15.75" customHeight="1">
      <c r="E956" s="16"/>
    </row>
    <row r="957" ht="15.75" customHeight="1">
      <c r="E957" s="16"/>
    </row>
    <row r="958" ht="15.75" customHeight="1">
      <c r="E958" s="16"/>
    </row>
    <row r="959" ht="15.75" customHeight="1">
      <c r="E959" s="16"/>
    </row>
    <row r="960" ht="15.75" customHeight="1">
      <c r="E960" s="16"/>
    </row>
    <row r="961" ht="15.75" customHeight="1">
      <c r="E961" s="16"/>
    </row>
    <row r="962" ht="15.75" customHeight="1">
      <c r="E962" s="16"/>
    </row>
    <row r="963" ht="15.75" customHeight="1">
      <c r="E963" s="16"/>
    </row>
    <row r="964" ht="15.75" customHeight="1">
      <c r="E964" s="16"/>
    </row>
    <row r="965" ht="15.75" customHeight="1">
      <c r="E965" s="16"/>
    </row>
    <row r="966" ht="15.75" customHeight="1">
      <c r="E966" s="16"/>
    </row>
    <row r="967" ht="15.75" customHeight="1">
      <c r="E967" s="16"/>
    </row>
    <row r="968" ht="15.75" customHeight="1">
      <c r="E968" s="16"/>
    </row>
    <row r="969" ht="15.75" customHeight="1">
      <c r="E969" s="16"/>
    </row>
    <row r="970" ht="15.75" customHeight="1">
      <c r="E970" s="16"/>
    </row>
    <row r="971" ht="15.75" customHeight="1">
      <c r="E971" s="16"/>
    </row>
    <row r="972" ht="15.75" customHeight="1">
      <c r="E972" s="16"/>
    </row>
    <row r="973" ht="15.75" customHeight="1">
      <c r="E973" s="16"/>
    </row>
    <row r="974" ht="15.75" customHeight="1">
      <c r="E974" s="16"/>
    </row>
    <row r="975" ht="15.75" customHeight="1">
      <c r="E975" s="16"/>
    </row>
    <row r="976" ht="15.75" customHeight="1">
      <c r="E976" s="16"/>
    </row>
    <row r="977" ht="15.75" customHeight="1">
      <c r="E977" s="16"/>
    </row>
    <row r="978" ht="15.75" customHeight="1">
      <c r="E978" s="16"/>
    </row>
    <row r="979" ht="15.75" customHeight="1">
      <c r="E979" s="16"/>
    </row>
    <row r="980" ht="15.75" customHeight="1">
      <c r="E980" s="16"/>
    </row>
    <row r="981" ht="15.75" customHeight="1">
      <c r="E981" s="16"/>
    </row>
    <row r="982" ht="15.75" customHeight="1">
      <c r="E982" s="16"/>
    </row>
    <row r="983" ht="15.75" customHeight="1">
      <c r="E983" s="16"/>
    </row>
    <row r="984" ht="15.75" customHeight="1">
      <c r="E984" s="16"/>
    </row>
    <row r="985" ht="15.75" customHeight="1">
      <c r="E985" s="16"/>
    </row>
    <row r="986" ht="15.75" customHeight="1">
      <c r="E986" s="16"/>
    </row>
    <row r="987" ht="15.75" customHeight="1">
      <c r="E987" s="16"/>
    </row>
    <row r="988" ht="15.75" customHeight="1">
      <c r="E988" s="16"/>
    </row>
    <row r="989" ht="15.75" customHeight="1">
      <c r="E989" s="16"/>
    </row>
    <row r="990" ht="15.75" customHeight="1">
      <c r="E990" s="16"/>
    </row>
    <row r="991" ht="15.75" customHeight="1">
      <c r="E991" s="16"/>
    </row>
    <row r="992" ht="15.75" customHeight="1">
      <c r="E992" s="16"/>
    </row>
    <row r="993" ht="15.75" customHeight="1">
      <c r="E993" s="16"/>
    </row>
    <row r="994" ht="15.75" customHeight="1">
      <c r="E994" s="16"/>
    </row>
    <row r="995" ht="15.75" customHeight="1">
      <c r="E995" s="16"/>
    </row>
    <row r="996" ht="15.75" customHeight="1">
      <c r="E996" s="16"/>
    </row>
    <row r="997" ht="15.75" customHeight="1">
      <c r="E997" s="16"/>
    </row>
    <row r="998" ht="15.75" customHeight="1">
      <c r="E998" s="16"/>
    </row>
    <row r="999" ht="15.75" customHeight="1">
      <c r="E999" s="16"/>
    </row>
    <row r="1000" ht="15.75" customHeight="1">
      <c r="E1000" s="16"/>
    </row>
    <row r="1001" ht="15.75" customHeight="1">
      <c r="E1001" s="16"/>
    </row>
    <row r="1002" ht="15.75" customHeight="1">
      <c r="E1002" s="16"/>
    </row>
    <row r="1003" ht="15.75" customHeight="1">
      <c r="E1003" s="16"/>
    </row>
    <row r="1004" ht="15.75" customHeight="1">
      <c r="E1004" s="16"/>
    </row>
    <row r="1005" ht="15.75" customHeight="1">
      <c r="E1005" s="16"/>
    </row>
    <row r="1006" ht="15.75" customHeight="1">
      <c r="E1006" s="16"/>
    </row>
    <row r="1007" ht="15.75" customHeight="1">
      <c r="E1007" s="16"/>
    </row>
    <row r="1008" ht="15.75" customHeight="1">
      <c r="E1008" s="16"/>
    </row>
    <row r="1009" ht="15.75" customHeight="1">
      <c r="E1009" s="16"/>
    </row>
    <row r="1010" ht="15.75" customHeight="1">
      <c r="E1010" s="16"/>
    </row>
    <row r="1011" ht="15.75" customHeight="1">
      <c r="E1011" s="16"/>
    </row>
  </sheetData>
  <mergeCells count="21">
    <mergeCell ref="J1:AA1"/>
    <mergeCell ref="E2:F2"/>
    <mergeCell ref="E3:F3"/>
    <mergeCell ref="I4:O4"/>
    <mergeCell ref="P4:V4"/>
    <mergeCell ref="W4:AC4"/>
    <mergeCell ref="AD4:AJ4"/>
    <mergeCell ref="CH4:CN4"/>
    <mergeCell ref="CO4:CU4"/>
    <mergeCell ref="CV4:DB4"/>
    <mergeCell ref="DC4:DI4"/>
    <mergeCell ref="DJ4:DP4"/>
    <mergeCell ref="DQ4:DW4"/>
    <mergeCell ref="DX4:ED4"/>
    <mergeCell ref="AK4:AQ4"/>
    <mergeCell ref="AR4:AX4"/>
    <mergeCell ref="AY4:BE4"/>
    <mergeCell ref="BF4:BL4"/>
    <mergeCell ref="BM4:BS4"/>
    <mergeCell ref="BT4:BZ4"/>
    <mergeCell ref="CA4:CG4"/>
  </mergeCells>
  <dataValidations>
    <dataValidation type="decimal" operator="greaterThanOrEqual" allowBlank="1" showInputMessage="1" prompt="Display Week - Changing this number will scroll the Gantt Chart view." sqref="E4">
      <formula1>1.0</formula1>
    </dataValidation>
  </dataValidations>
  <hyperlinks>
    <hyperlink r:id="rId2" ref="B49"/>
    <hyperlink r:id="rId3" ref="B50"/>
  </hyperlinks>
  <printOptions/>
  <pageMargins bottom="0.5" footer="0.0" header="0.0" left="0.35" right="0.35" top="0.35"/>
  <pageSetup fitToHeight="0"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6"/>
    <col customWidth="1" min="2" max="2" width="87.14"/>
    <col customWidth="1" min="3" max="26" width="9.14"/>
  </cols>
  <sheetData>
    <row r="1" ht="46.5" customHeight="1">
      <c r="A1" s="3"/>
      <c r="B1" s="98"/>
      <c r="C1" s="3"/>
      <c r="D1" s="3"/>
      <c r="E1" s="3"/>
      <c r="F1" s="3"/>
      <c r="G1" s="3"/>
      <c r="H1" s="3"/>
      <c r="I1" s="3"/>
      <c r="J1" s="3"/>
      <c r="K1" s="3"/>
      <c r="L1" s="3"/>
      <c r="M1" s="3"/>
      <c r="N1" s="3"/>
      <c r="O1" s="3"/>
      <c r="P1" s="3"/>
      <c r="Q1" s="3"/>
      <c r="R1" s="3"/>
      <c r="S1" s="3"/>
      <c r="T1" s="3"/>
      <c r="U1" s="3"/>
      <c r="V1" s="3"/>
      <c r="W1" s="3"/>
      <c r="X1" s="3"/>
      <c r="Y1" s="3"/>
      <c r="Z1" s="3"/>
    </row>
    <row r="2" ht="12.75" customHeight="1">
      <c r="A2" s="99"/>
      <c r="B2" s="100" t="s">
        <v>50</v>
      </c>
      <c r="C2" s="101"/>
      <c r="D2" s="99"/>
      <c r="E2" s="99"/>
      <c r="F2" s="99"/>
      <c r="G2" s="99"/>
      <c r="H2" s="99"/>
      <c r="I2" s="99"/>
      <c r="J2" s="99"/>
      <c r="K2" s="99"/>
      <c r="L2" s="99"/>
      <c r="M2" s="99"/>
      <c r="N2" s="99"/>
      <c r="O2" s="99"/>
      <c r="P2" s="99"/>
      <c r="Q2" s="99"/>
      <c r="R2" s="99"/>
      <c r="S2" s="99"/>
      <c r="T2" s="99"/>
      <c r="U2" s="99"/>
      <c r="V2" s="99"/>
      <c r="W2" s="99"/>
      <c r="X2" s="99"/>
      <c r="Y2" s="99"/>
      <c r="Z2" s="99"/>
    </row>
    <row r="3" ht="13.5" customHeight="1">
      <c r="A3" s="102"/>
      <c r="B3" s="103" t="s">
        <v>51</v>
      </c>
      <c r="C3" s="104"/>
      <c r="D3" s="102"/>
      <c r="E3" s="102"/>
      <c r="F3" s="102"/>
      <c r="G3" s="102"/>
      <c r="H3" s="102"/>
      <c r="I3" s="102"/>
      <c r="J3" s="102"/>
      <c r="K3" s="102"/>
      <c r="L3" s="102"/>
      <c r="M3" s="102"/>
      <c r="N3" s="102"/>
      <c r="O3" s="102"/>
      <c r="P3" s="102"/>
      <c r="Q3" s="102"/>
      <c r="R3" s="102"/>
      <c r="S3" s="102"/>
      <c r="T3" s="102"/>
      <c r="U3" s="102"/>
      <c r="V3" s="102"/>
      <c r="W3" s="102"/>
      <c r="X3" s="102"/>
      <c r="Y3" s="102"/>
      <c r="Z3" s="102"/>
    </row>
    <row r="4" ht="12.75" customHeight="1">
      <c r="A4" s="3"/>
      <c r="B4" s="105" t="s">
        <v>52</v>
      </c>
      <c r="C4" s="3"/>
      <c r="D4" s="3"/>
      <c r="E4" s="3"/>
      <c r="F4" s="3"/>
      <c r="G4" s="3"/>
      <c r="H4" s="3"/>
      <c r="I4" s="3"/>
      <c r="J4" s="3"/>
      <c r="K4" s="3"/>
      <c r="L4" s="3"/>
      <c r="M4" s="3"/>
      <c r="N4" s="3"/>
      <c r="O4" s="3"/>
      <c r="P4" s="3"/>
      <c r="Q4" s="3"/>
      <c r="R4" s="3"/>
      <c r="S4" s="3"/>
      <c r="T4" s="3"/>
      <c r="U4" s="3"/>
      <c r="V4" s="3"/>
      <c r="W4" s="3"/>
      <c r="X4" s="3"/>
      <c r="Y4" s="3"/>
      <c r="Z4" s="3"/>
    </row>
    <row r="5" ht="12.75" customHeight="1">
      <c r="A5" s="3"/>
      <c r="B5" s="98"/>
      <c r="C5" s="3"/>
      <c r="D5" s="3"/>
      <c r="E5" s="3"/>
      <c r="F5" s="3"/>
      <c r="G5" s="3"/>
      <c r="H5" s="3"/>
      <c r="I5" s="3"/>
      <c r="J5" s="3"/>
      <c r="K5" s="3"/>
      <c r="L5" s="3"/>
      <c r="M5" s="3"/>
      <c r="N5" s="3"/>
      <c r="O5" s="3"/>
      <c r="P5" s="3"/>
      <c r="Q5" s="3"/>
      <c r="R5" s="3"/>
      <c r="S5" s="3"/>
      <c r="T5" s="3"/>
      <c r="U5" s="3"/>
      <c r="V5" s="3"/>
      <c r="W5" s="3"/>
      <c r="X5" s="3"/>
      <c r="Y5" s="3"/>
      <c r="Z5" s="3"/>
    </row>
    <row r="6" ht="12.75" customHeight="1">
      <c r="A6" s="106"/>
      <c r="B6" s="107" t="s">
        <v>53</v>
      </c>
      <c r="C6" s="106"/>
      <c r="D6" s="106"/>
      <c r="E6" s="106"/>
      <c r="F6" s="106"/>
      <c r="G6" s="106"/>
      <c r="H6" s="106"/>
      <c r="I6" s="106"/>
      <c r="J6" s="106"/>
      <c r="K6" s="106"/>
      <c r="L6" s="106"/>
      <c r="M6" s="106"/>
      <c r="N6" s="106"/>
      <c r="O6" s="106"/>
      <c r="P6" s="106"/>
      <c r="Q6" s="106"/>
      <c r="R6" s="106"/>
      <c r="S6" s="106"/>
      <c r="T6" s="106"/>
      <c r="U6" s="106"/>
      <c r="V6" s="106"/>
      <c r="W6" s="106"/>
      <c r="X6" s="106"/>
      <c r="Y6" s="106"/>
      <c r="Z6" s="106"/>
    </row>
    <row r="7" ht="12.75" customHeight="1">
      <c r="A7" s="3"/>
      <c r="B7" s="108" t="s">
        <v>54</v>
      </c>
      <c r="C7" s="3"/>
      <c r="D7" s="3"/>
      <c r="E7" s="3"/>
      <c r="F7" s="3"/>
      <c r="G7" s="3"/>
      <c r="H7" s="3"/>
      <c r="I7" s="3"/>
      <c r="J7" s="3"/>
      <c r="K7" s="3"/>
      <c r="L7" s="3"/>
      <c r="M7" s="3"/>
      <c r="N7" s="3"/>
      <c r="O7" s="3"/>
      <c r="P7" s="3"/>
      <c r="Q7" s="3"/>
      <c r="R7" s="3"/>
      <c r="S7" s="3"/>
      <c r="T7" s="3"/>
      <c r="U7" s="3"/>
      <c r="V7" s="3"/>
      <c r="W7" s="3"/>
      <c r="X7" s="3"/>
      <c r="Y7" s="3"/>
      <c r="Z7" s="3"/>
    </row>
    <row r="8" ht="12.75" customHeight="1">
      <c r="A8" s="3"/>
      <c r="B8" s="109"/>
      <c r="C8" s="3"/>
      <c r="D8" s="3"/>
      <c r="E8" s="3"/>
      <c r="F8" s="3"/>
      <c r="G8" s="3"/>
      <c r="H8" s="3"/>
      <c r="I8" s="3"/>
      <c r="J8" s="3"/>
      <c r="K8" s="3"/>
      <c r="L8" s="3"/>
      <c r="M8" s="3"/>
      <c r="N8" s="3"/>
      <c r="O8" s="3"/>
      <c r="P8" s="3"/>
      <c r="Q8" s="3"/>
      <c r="R8" s="3"/>
      <c r="S8" s="3"/>
      <c r="T8" s="3"/>
      <c r="U8" s="3"/>
      <c r="V8" s="3"/>
      <c r="W8" s="3"/>
      <c r="X8" s="3"/>
      <c r="Y8" s="3"/>
      <c r="Z8" s="3"/>
    </row>
    <row r="9" ht="12.75" customHeight="1">
      <c r="A9" s="106"/>
      <c r="B9" s="107" t="s">
        <v>55</v>
      </c>
      <c r="C9" s="106"/>
      <c r="D9" s="106"/>
      <c r="E9" s="106"/>
      <c r="F9" s="106"/>
      <c r="G9" s="106"/>
      <c r="H9" s="106"/>
      <c r="I9" s="106"/>
      <c r="J9" s="106"/>
      <c r="K9" s="106"/>
      <c r="L9" s="106"/>
      <c r="M9" s="106"/>
      <c r="N9" s="106"/>
      <c r="O9" s="106"/>
      <c r="P9" s="106"/>
      <c r="Q9" s="106"/>
      <c r="R9" s="106"/>
      <c r="S9" s="106"/>
      <c r="T9" s="106"/>
      <c r="U9" s="106"/>
      <c r="V9" s="106"/>
      <c r="W9" s="106"/>
      <c r="X9" s="106"/>
      <c r="Y9" s="106"/>
      <c r="Z9" s="106"/>
    </row>
    <row r="10" ht="12.75" customHeight="1">
      <c r="A10" s="3"/>
      <c r="B10" s="108" t="s">
        <v>56</v>
      </c>
      <c r="C10" s="3"/>
      <c r="D10" s="3"/>
      <c r="E10" s="3"/>
      <c r="F10" s="3"/>
      <c r="G10" s="3"/>
      <c r="H10" s="3"/>
      <c r="I10" s="3"/>
      <c r="J10" s="3"/>
      <c r="K10" s="3"/>
      <c r="L10" s="3"/>
      <c r="M10" s="3"/>
      <c r="N10" s="3"/>
      <c r="O10" s="3"/>
      <c r="P10" s="3"/>
      <c r="Q10" s="3"/>
      <c r="R10" s="3"/>
      <c r="S10" s="3"/>
      <c r="T10" s="3"/>
      <c r="U10" s="3"/>
      <c r="V10" s="3"/>
      <c r="W10" s="3"/>
      <c r="X10" s="3"/>
      <c r="Y10" s="3"/>
      <c r="Z10" s="3"/>
    </row>
    <row r="11" ht="12.75" customHeight="1">
      <c r="A11" s="3"/>
      <c r="B11" s="110" t="s">
        <v>57</v>
      </c>
      <c r="C11" s="3"/>
      <c r="D11" s="3"/>
      <c r="E11" s="3"/>
      <c r="F11" s="3"/>
      <c r="G11" s="3"/>
      <c r="H11" s="3"/>
      <c r="I11" s="3"/>
      <c r="J11" s="3"/>
      <c r="K11" s="3"/>
      <c r="L11" s="3"/>
      <c r="M11" s="3"/>
      <c r="N11" s="3"/>
      <c r="O11" s="3"/>
      <c r="P11" s="3"/>
      <c r="Q11" s="3"/>
      <c r="R11" s="3"/>
      <c r="S11" s="3"/>
      <c r="T11" s="3"/>
      <c r="U11" s="3"/>
      <c r="V11" s="3"/>
      <c r="W11" s="3"/>
      <c r="X11" s="3"/>
      <c r="Y11" s="3"/>
      <c r="Z11" s="3"/>
    </row>
    <row r="12" ht="12.75" customHeight="1">
      <c r="A12" s="3"/>
      <c r="B12" s="109"/>
      <c r="C12" s="3"/>
      <c r="D12" s="3"/>
      <c r="E12" s="3"/>
      <c r="F12" s="3"/>
      <c r="G12" s="3"/>
      <c r="H12" s="3"/>
      <c r="I12" s="3"/>
      <c r="J12" s="3"/>
      <c r="K12" s="3"/>
      <c r="L12" s="3"/>
      <c r="M12" s="3"/>
      <c r="N12" s="3"/>
      <c r="O12" s="3"/>
      <c r="P12" s="3"/>
      <c r="Q12" s="3"/>
      <c r="R12" s="3"/>
      <c r="S12" s="3"/>
      <c r="T12" s="3"/>
      <c r="U12" s="3"/>
      <c r="V12" s="3"/>
      <c r="W12" s="3"/>
      <c r="X12" s="3"/>
      <c r="Y12" s="3"/>
      <c r="Z12" s="3"/>
    </row>
    <row r="13" ht="12.75" customHeight="1">
      <c r="A13" s="3"/>
      <c r="B13" s="110" t="str">
        <f>HYPERLINK("https://vertex42.link/HowToMakeAGanttChart","► Watch How This Gantt Chart Was Created")</f>
        <v>► Watch How This Gantt Chart Was Created</v>
      </c>
      <c r="C13" s="3"/>
      <c r="D13" s="3"/>
      <c r="E13" s="3"/>
      <c r="F13" s="3"/>
      <c r="G13" s="3"/>
      <c r="H13" s="3"/>
      <c r="I13" s="3"/>
      <c r="J13" s="3"/>
      <c r="K13" s="3"/>
      <c r="L13" s="3"/>
      <c r="M13" s="3"/>
      <c r="N13" s="3"/>
      <c r="O13" s="3"/>
      <c r="P13" s="3"/>
      <c r="Q13" s="3"/>
      <c r="R13" s="3"/>
      <c r="S13" s="3"/>
      <c r="T13" s="3"/>
      <c r="U13" s="3"/>
      <c r="V13" s="3"/>
      <c r="W13" s="3"/>
      <c r="X13" s="3"/>
      <c r="Y13" s="3"/>
      <c r="Z13" s="3"/>
    </row>
    <row r="14" ht="12.75" customHeight="1">
      <c r="A14" s="3"/>
      <c r="B14" s="109"/>
      <c r="C14" s="3"/>
      <c r="D14" s="3"/>
      <c r="E14" s="3"/>
      <c r="F14" s="3"/>
      <c r="G14" s="3"/>
      <c r="H14" s="3"/>
      <c r="I14" s="3"/>
      <c r="J14" s="3"/>
      <c r="K14" s="3"/>
      <c r="L14" s="3"/>
      <c r="M14" s="3"/>
      <c r="N14" s="3"/>
      <c r="O14" s="3"/>
      <c r="P14" s="3"/>
      <c r="Q14" s="3"/>
      <c r="R14" s="3"/>
      <c r="S14" s="3"/>
      <c r="T14" s="3"/>
      <c r="U14" s="3"/>
      <c r="V14" s="3"/>
      <c r="W14" s="3"/>
      <c r="X14" s="3"/>
      <c r="Y14" s="3"/>
      <c r="Z14" s="3"/>
    </row>
    <row r="15" ht="12.75" customHeight="1">
      <c r="A15" s="106"/>
      <c r="B15" s="107" t="s">
        <v>58</v>
      </c>
      <c r="C15" s="106"/>
      <c r="D15" s="106"/>
      <c r="E15" s="106"/>
      <c r="F15" s="106"/>
      <c r="G15" s="106"/>
      <c r="H15" s="106"/>
      <c r="I15" s="106"/>
      <c r="J15" s="106"/>
      <c r="K15" s="106"/>
      <c r="L15" s="106"/>
      <c r="M15" s="106"/>
      <c r="N15" s="106"/>
      <c r="O15" s="106"/>
      <c r="P15" s="106"/>
      <c r="Q15" s="106"/>
      <c r="R15" s="106"/>
      <c r="S15" s="106"/>
      <c r="T15" s="106"/>
      <c r="U15" s="106"/>
      <c r="V15" s="106"/>
      <c r="W15" s="106"/>
      <c r="X15" s="106"/>
      <c r="Y15" s="106"/>
      <c r="Z15" s="106"/>
    </row>
    <row r="16" ht="12.75" customHeight="1">
      <c r="A16" s="3"/>
      <c r="B16" s="108" t="s">
        <v>59</v>
      </c>
      <c r="C16" s="3"/>
      <c r="D16" s="3"/>
      <c r="E16" s="3"/>
      <c r="F16" s="3"/>
      <c r="G16" s="3"/>
      <c r="H16" s="3"/>
      <c r="I16" s="3"/>
      <c r="J16" s="3"/>
      <c r="K16" s="3"/>
      <c r="L16" s="3"/>
      <c r="M16" s="3"/>
      <c r="N16" s="3"/>
      <c r="O16" s="3"/>
      <c r="P16" s="3"/>
      <c r="Q16" s="3"/>
      <c r="R16" s="3"/>
      <c r="S16" s="3"/>
      <c r="T16" s="3"/>
      <c r="U16" s="3"/>
      <c r="V16" s="3"/>
      <c r="W16" s="3"/>
      <c r="X16" s="3"/>
      <c r="Y16" s="3"/>
      <c r="Z16" s="3"/>
    </row>
    <row r="17" ht="12.75" customHeight="1">
      <c r="A17" s="3"/>
      <c r="B17" s="110" t="s">
        <v>60</v>
      </c>
      <c r="C17" s="3"/>
      <c r="D17" s="3"/>
      <c r="E17" s="3"/>
      <c r="F17" s="3"/>
      <c r="G17" s="3"/>
      <c r="H17" s="3"/>
      <c r="I17" s="3"/>
      <c r="J17" s="3"/>
      <c r="K17" s="3"/>
      <c r="L17" s="3"/>
      <c r="M17" s="3"/>
      <c r="N17" s="3"/>
      <c r="O17" s="3"/>
      <c r="P17" s="3"/>
      <c r="Q17" s="3"/>
      <c r="R17" s="3"/>
      <c r="S17" s="3"/>
      <c r="T17" s="3"/>
      <c r="U17" s="3"/>
      <c r="V17" s="3"/>
      <c r="W17" s="3"/>
      <c r="X17" s="3"/>
      <c r="Y17" s="3"/>
      <c r="Z17" s="3"/>
    </row>
    <row r="18" ht="12.75" customHeight="1">
      <c r="A18" s="3"/>
      <c r="B18" s="109"/>
      <c r="C18" s="3"/>
      <c r="D18" s="3"/>
      <c r="E18" s="3"/>
      <c r="F18" s="3"/>
      <c r="G18" s="3"/>
      <c r="H18" s="3"/>
      <c r="I18" s="3"/>
      <c r="J18" s="3"/>
      <c r="K18" s="3"/>
      <c r="L18" s="3"/>
      <c r="M18" s="3"/>
      <c r="N18" s="3"/>
      <c r="O18" s="3"/>
      <c r="P18" s="3"/>
      <c r="Q18" s="3"/>
      <c r="R18" s="3"/>
      <c r="S18" s="3"/>
      <c r="T18" s="3"/>
      <c r="U18" s="3"/>
      <c r="V18" s="3"/>
      <c r="W18" s="3"/>
      <c r="X18" s="3"/>
      <c r="Y18" s="3"/>
      <c r="Z18" s="3"/>
    </row>
    <row r="19" ht="12.75" customHeight="1">
      <c r="A19" s="106"/>
      <c r="B19" s="107" t="s">
        <v>61</v>
      </c>
      <c r="C19" s="106"/>
      <c r="D19" s="106"/>
      <c r="E19" s="106"/>
      <c r="F19" s="106"/>
      <c r="G19" s="106"/>
      <c r="H19" s="106"/>
      <c r="I19" s="106"/>
      <c r="J19" s="106"/>
      <c r="K19" s="106"/>
      <c r="L19" s="106"/>
      <c r="M19" s="106"/>
      <c r="N19" s="106"/>
      <c r="O19" s="106"/>
      <c r="P19" s="106"/>
      <c r="Q19" s="106"/>
      <c r="R19" s="106"/>
      <c r="S19" s="106"/>
      <c r="T19" s="106"/>
      <c r="U19" s="106"/>
      <c r="V19" s="106"/>
      <c r="W19" s="106"/>
      <c r="X19" s="106"/>
      <c r="Y19" s="106"/>
      <c r="Z19" s="106"/>
    </row>
    <row r="20" ht="12.75" customHeight="1">
      <c r="A20" s="3"/>
      <c r="B20" s="108" t="s">
        <v>62</v>
      </c>
      <c r="C20" s="3"/>
      <c r="D20" s="3"/>
      <c r="E20" s="3"/>
      <c r="F20" s="3"/>
      <c r="G20" s="3"/>
      <c r="H20" s="3"/>
      <c r="I20" s="3"/>
      <c r="J20" s="3"/>
      <c r="K20" s="3"/>
      <c r="L20" s="3"/>
      <c r="M20" s="3"/>
      <c r="N20" s="3"/>
      <c r="O20" s="3"/>
      <c r="P20" s="3"/>
      <c r="Q20" s="3"/>
      <c r="R20" s="3"/>
      <c r="S20" s="3"/>
      <c r="T20" s="3"/>
      <c r="U20" s="3"/>
      <c r="V20" s="3"/>
      <c r="W20" s="3"/>
      <c r="X20" s="3"/>
      <c r="Y20" s="3"/>
      <c r="Z20" s="3"/>
    </row>
    <row r="21" ht="12.75" customHeight="1">
      <c r="A21" s="3"/>
      <c r="B21" s="109"/>
      <c r="C21" s="3"/>
      <c r="D21" s="3"/>
      <c r="E21" s="3"/>
      <c r="F21" s="3"/>
      <c r="G21" s="3"/>
      <c r="H21" s="3"/>
      <c r="I21" s="3"/>
      <c r="J21" s="3"/>
      <c r="K21" s="3"/>
      <c r="L21" s="3"/>
      <c r="M21" s="3"/>
      <c r="N21" s="3"/>
      <c r="O21" s="3"/>
      <c r="P21" s="3"/>
      <c r="Q21" s="3"/>
      <c r="R21" s="3"/>
      <c r="S21" s="3"/>
      <c r="T21" s="3"/>
      <c r="U21" s="3"/>
      <c r="V21" s="3"/>
      <c r="W21" s="3"/>
      <c r="X21" s="3"/>
      <c r="Y21" s="3"/>
      <c r="Z21" s="3"/>
    </row>
    <row r="22" ht="12.75" customHeight="1">
      <c r="A22" s="3"/>
      <c r="B22" s="108" t="s">
        <v>63</v>
      </c>
      <c r="C22" s="3"/>
      <c r="D22" s="3"/>
      <c r="E22" s="3"/>
      <c r="F22" s="3"/>
      <c r="G22" s="3"/>
      <c r="H22" s="3"/>
      <c r="I22" s="3"/>
      <c r="J22" s="3"/>
      <c r="K22" s="3"/>
      <c r="L22" s="3"/>
      <c r="M22" s="3"/>
      <c r="N22" s="3"/>
      <c r="O22" s="3"/>
      <c r="P22" s="3"/>
      <c r="Q22" s="3"/>
      <c r="R22" s="3"/>
      <c r="S22" s="3"/>
      <c r="T22" s="3"/>
      <c r="U22" s="3"/>
      <c r="V22" s="3"/>
      <c r="W22" s="3"/>
      <c r="X22" s="3"/>
      <c r="Y22" s="3"/>
      <c r="Z22" s="3"/>
    </row>
    <row r="23" ht="12.75" customHeight="1">
      <c r="A23" s="3"/>
      <c r="B23" s="98"/>
      <c r="C23" s="3"/>
      <c r="D23" s="3"/>
      <c r="E23" s="3"/>
      <c r="F23" s="3"/>
      <c r="G23" s="3"/>
      <c r="H23" s="3"/>
      <c r="I23" s="3"/>
      <c r="J23" s="3"/>
      <c r="K23" s="3"/>
      <c r="L23" s="3"/>
      <c r="M23" s="3"/>
      <c r="N23" s="3"/>
      <c r="O23" s="3"/>
      <c r="P23" s="3"/>
      <c r="Q23" s="3"/>
      <c r="R23" s="3"/>
      <c r="S23" s="3"/>
      <c r="T23" s="3"/>
      <c r="U23" s="3"/>
      <c r="V23" s="3"/>
      <c r="W23" s="3"/>
      <c r="X23" s="3"/>
      <c r="Y23" s="3"/>
      <c r="Z23" s="3"/>
    </row>
    <row r="24" ht="12.75" customHeight="1">
      <c r="A24" s="3"/>
      <c r="B24" s="98"/>
      <c r="C24" s="3"/>
      <c r="D24" s="3"/>
      <c r="E24" s="3"/>
      <c r="F24" s="3"/>
      <c r="G24" s="3"/>
      <c r="H24" s="3"/>
      <c r="I24" s="3"/>
      <c r="J24" s="3"/>
      <c r="K24" s="3"/>
      <c r="L24" s="3"/>
      <c r="M24" s="3"/>
      <c r="N24" s="3"/>
      <c r="O24" s="3"/>
      <c r="P24" s="3"/>
      <c r="Q24" s="3"/>
      <c r="R24" s="3"/>
      <c r="S24" s="3"/>
      <c r="T24" s="3"/>
      <c r="U24" s="3"/>
      <c r="V24" s="3"/>
      <c r="W24" s="3"/>
      <c r="X24" s="3"/>
      <c r="Y24" s="3"/>
      <c r="Z24" s="3"/>
    </row>
    <row r="25" ht="12.75" customHeight="1">
      <c r="A25" s="3"/>
      <c r="B25" s="98"/>
      <c r="C25" s="3"/>
      <c r="D25" s="3"/>
      <c r="E25" s="3"/>
      <c r="F25" s="3"/>
      <c r="G25" s="3"/>
      <c r="H25" s="3"/>
      <c r="I25" s="3"/>
      <c r="J25" s="3"/>
      <c r="K25" s="3"/>
      <c r="L25" s="3"/>
      <c r="M25" s="3"/>
      <c r="N25" s="3"/>
      <c r="O25" s="3"/>
      <c r="P25" s="3"/>
      <c r="Q25" s="3"/>
      <c r="R25" s="3"/>
      <c r="S25" s="3"/>
      <c r="T25" s="3"/>
      <c r="U25" s="3"/>
      <c r="V25" s="3"/>
      <c r="W25" s="3"/>
      <c r="X25" s="3"/>
      <c r="Y25" s="3"/>
      <c r="Z25" s="3"/>
    </row>
    <row r="26" ht="12.75" customHeight="1">
      <c r="A26" s="3"/>
      <c r="B26" s="98"/>
      <c r="C26" s="3"/>
      <c r="D26" s="3"/>
      <c r="E26" s="3"/>
      <c r="F26" s="3"/>
      <c r="G26" s="3"/>
      <c r="H26" s="3"/>
      <c r="I26" s="3"/>
      <c r="J26" s="3"/>
      <c r="K26" s="3"/>
      <c r="L26" s="3"/>
      <c r="M26" s="3"/>
      <c r="N26" s="3"/>
      <c r="O26" s="3"/>
      <c r="P26" s="3"/>
      <c r="Q26" s="3"/>
      <c r="R26" s="3"/>
      <c r="S26" s="3"/>
      <c r="T26" s="3"/>
      <c r="U26" s="3"/>
      <c r="V26" s="3"/>
      <c r="W26" s="3"/>
      <c r="X26" s="3"/>
      <c r="Y26" s="3"/>
      <c r="Z26" s="3"/>
    </row>
    <row r="27" ht="12.75" customHeight="1">
      <c r="A27" s="3"/>
      <c r="B27" s="98"/>
      <c r="C27" s="3"/>
      <c r="D27" s="3"/>
      <c r="E27" s="3"/>
      <c r="F27" s="3"/>
      <c r="G27" s="3"/>
      <c r="H27" s="3"/>
      <c r="I27" s="3"/>
      <c r="J27" s="3"/>
      <c r="K27" s="3"/>
      <c r="L27" s="3"/>
      <c r="M27" s="3"/>
      <c r="N27" s="3"/>
      <c r="O27" s="3"/>
      <c r="P27" s="3"/>
      <c r="Q27" s="3"/>
      <c r="R27" s="3"/>
      <c r="S27" s="3"/>
      <c r="T27" s="3"/>
      <c r="U27" s="3"/>
      <c r="V27" s="3"/>
      <c r="W27" s="3"/>
      <c r="X27" s="3"/>
      <c r="Y27" s="3"/>
      <c r="Z27" s="3"/>
    </row>
    <row r="28" ht="12.75" customHeight="1">
      <c r="A28" s="3"/>
      <c r="B28" s="98"/>
      <c r="C28" s="3"/>
      <c r="D28" s="3"/>
      <c r="E28" s="3"/>
      <c r="F28" s="3"/>
      <c r="G28" s="3"/>
      <c r="H28" s="3"/>
      <c r="I28" s="3"/>
      <c r="J28" s="3"/>
      <c r="K28" s="3"/>
      <c r="L28" s="3"/>
      <c r="M28" s="3"/>
      <c r="N28" s="3"/>
      <c r="O28" s="3"/>
      <c r="P28" s="3"/>
      <c r="Q28" s="3"/>
      <c r="R28" s="3"/>
      <c r="S28" s="3"/>
      <c r="T28" s="3"/>
      <c r="U28" s="3"/>
      <c r="V28" s="3"/>
      <c r="W28" s="3"/>
      <c r="X28" s="3"/>
      <c r="Y28" s="3"/>
      <c r="Z28" s="3"/>
    </row>
    <row r="29" ht="12.75" customHeight="1">
      <c r="A29" s="3"/>
      <c r="B29" s="98"/>
      <c r="C29" s="3"/>
      <c r="D29" s="3"/>
      <c r="E29" s="3"/>
      <c r="F29" s="3"/>
      <c r="G29" s="3"/>
      <c r="H29" s="3"/>
      <c r="I29" s="3"/>
      <c r="J29" s="3"/>
      <c r="K29" s="3"/>
      <c r="L29" s="3"/>
      <c r="M29" s="3"/>
      <c r="N29" s="3"/>
      <c r="O29" s="3"/>
      <c r="P29" s="3"/>
      <c r="Q29" s="3"/>
      <c r="R29" s="3"/>
      <c r="S29" s="3"/>
      <c r="T29" s="3"/>
      <c r="U29" s="3"/>
      <c r="V29" s="3"/>
      <c r="W29" s="3"/>
      <c r="X29" s="3"/>
      <c r="Y29" s="3"/>
      <c r="Z29" s="3"/>
    </row>
    <row r="30" ht="12.75" customHeight="1">
      <c r="A30" s="3"/>
      <c r="B30" s="98"/>
      <c r="C30" s="3"/>
      <c r="D30" s="3"/>
      <c r="E30" s="3"/>
      <c r="F30" s="3"/>
      <c r="G30" s="3"/>
      <c r="H30" s="3"/>
      <c r="I30" s="3"/>
      <c r="J30" s="3"/>
      <c r="K30" s="3"/>
      <c r="L30" s="3"/>
      <c r="M30" s="3"/>
      <c r="N30" s="3"/>
      <c r="O30" s="3"/>
      <c r="P30" s="3"/>
      <c r="Q30" s="3"/>
      <c r="R30" s="3"/>
      <c r="S30" s="3"/>
      <c r="T30" s="3"/>
      <c r="U30" s="3"/>
      <c r="V30" s="3"/>
      <c r="W30" s="3"/>
      <c r="X30" s="3"/>
      <c r="Y30" s="3"/>
      <c r="Z30" s="3"/>
    </row>
    <row r="31" ht="12.75" customHeight="1">
      <c r="A31" s="3"/>
      <c r="B31" s="98"/>
      <c r="C31" s="3"/>
      <c r="D31" s="3"/>
      <c r="E31" s="3"/>
      <c r="F31" s="3"/>
      <c r="G31" s="3"/>
      <c r="H31" s="3"/>
      <c r="I31" s="3"/>
      <c r="J31" s="3"/>
      <c r="K31" s="3"/>
      <c r="L31" s="3"/>
      <c r="M31" s="3"/>
      <c r="N31" s="3"/>
      <c r="O31" s="3"/>
      <c r="P31" s="3"/>
      <c r="Q31" s="3"/>
      <c r="R31" s="3"/>
      <c r="S31" s="3"/>
      <c r="T31" s="3"/>
      <c r="U31" s="3"/>
      <c r="V31" s="3"/>
      <c r="W31" s="3"/>
      <c r="X31" s="3"/>
      <c r="Y31" s="3"/>
      <c r="Z31" s="3"/>
    </row>
    <row r="32" ht="12.75" customHeight="1">
      <c r="A32" s="3"/>
      <c r="B32" s="98"/>
      <c r="C32" s="3"/>
      <c r="D32" s="3"/>
      <c r="E32" s="3"/>
      <c r="F32" s="3"/>
      <c r="G32" s="3"/>
      <c r="H32" s="3"/>
      <c r="I32" s="3"/>
      <c r="J32" s="3"/>
      <c r="K32" s="3"/>
      <c r="L32" s="3"/>
      <c r="M32" s="3"/>
      <c r="N32" s="3"/>
      <c r="O32" s="3"/>
      <c r="P32" s="3"/>
      <c r="Q32" s="3"/>
      <c r="R32" s="3"/>
      <c r="S32" s="3"/>
      <c r="T32" s="3"/>
      <c r="U32" s="3"/>
      <c r="V32" s="3"/>
      <c r="W32" s="3"/>
      <c r="X32" s="3"/>
      <c r="Y32" s="3"/>
      <c r="Z32" s="3"/>
    </row>
    <row r="33" ht="12.75" customHeight="1">
      <c r="A33" s="3"/>
      <c r="B33" s="98"/>
      <c r="C33" s="3"/>
      <c r="D33" s="3"/>
      <c r="E33" s="3"/>
      <c r="F33" s="3"/>
      <c r="G33" s="3"/>
      <c r="H33" s="3"/>
      <c r="I33" s="3"/>
      <c r="J33" s="3"/>
      <c r="K33" s="3"/>
      <c r="L33" s="3"/>
      <c r="M33" s="3"/>
      <c r="N33" s="3"/>
      <c r="O33" s="3"/>
      <c r="P33" s="3"/>
      <c r="Q33" s="3"/>
      <c r="R33" s="3"/>
      <c r="S33" s="3"/>
      <c r="T33" s="3"/>
      <c r="U33" s="3"/>
      <c r="V33" s="3"/>
      <c r="W33" s="3"/>
      <c r="X33" s="3"/>
      <c r="Y33" s="3"/>
      <c r="Z33" s="3"/>
    </row>
    <row r="34" ht="12.75" customHeight="1">
      <c r="A34" s="3"/>
      <c r="B34" s="98"/>
      <c r="C34" s="3"/>
      <c r="D34" s="3"/>
      <c r="E34" s="3"/>
      <c r="F34" s="3"/>
      <c r="G34" s="3"/>
      <c r="H34" s="3"/>
      <c r="I34" s="3"/>
      <c r="J34" s="3"/>
      <c r="K34" s="3"/>
      <c r="L34" s="3"/>
      <c r="M34" s="3"/>
      <c r="N34" s="3"/>
      <c r="O34" s="3"/>
      <c r="P34" s="3"/>
      <c r="Q34" s="3"/>
      <c r="R34" s="3"/>
      <c r="S34" s="3"/>
      <c r="T34" s="3"/>
      <c r="U34" s="3"/>
      <c r="V34" s="3"/>
      <c r="W34" s="3"/>
      <c r="X34" s="3"/>
      <c r="Y34" s="3"/>
      <c r="Z34" s="3"/>
    </row>
    <row r="35" ht="12.75" customHeight="1">
      <c r="A35" s="3"/>
      <c r="B35" s="98"/>
      <c r="C35" s="3"/>
      <c r="D35" s="3"/>
      <c r="E35" s="3"/>
      <c r="F35" s="3"/>
      <c r="G35" s="3"/>
      <c r="H35" s="3"/>
      <c r="I35" s="3"/>
      <c r="J35" s="3"/>
      <c r="K35" s="3"/>
      <c r="L35" s="3"/>
      <c r="M35" s="3"/>
      <c r="N35" s="3"/>
      <c r="O35" s="3"/>
      <c r="P35" s="3"/>
      <c r="Q35" s="3"/>
      <c r="R35" s="3"/>
      <c r="S35" s="3"/>
      <c r="T35" s="3"/>
      <c r="U35" s="3"/>
      <c r="V35" s="3"/>
      <c r="W35" s="3"/>
      <c r="X35" s="3"/>
      <c r="Y35" s="3"/>
      <c r="Z35" s="3"/>
    </row>
    <row r="36" ht="12.75" customHeight="1">
      <c r="A36" s="3"/>
      <c r="B36" s="98"/>
      <c r="C36" s="3"/>
      <c r="D36" s="3"/>
      <c r="E36" s="3"/>
      <c r="F36" s="3"/>
      <c r="G36" s="3"/>
      <c r="H36" s="3"/>
      <c r="I36" s="3"/>
      <c r="J36" s="3"/>
      <c r="K36" s="3"/>
      <c r="L36" s="3"/>
      <c r="M36" s="3"/>
      <c r="N36" s="3"/>
      <c r="O36" s="3"/>
      <c r="P36" s="3"/>
      <c r="Q36" s="3"/>
      <c r="R36" s="3"/>
      <c r="S36" s="3"/>
      <c r="T36" s="3"/>
      <c r="U36" s="3"/>
      <c r="V36" s="3"/>
      <c r="W36" s="3"/>
      <c r="X36" s="3"/>
      <c r="Y36" s="3"/>
      <c r="Z36" s="3"/>
    </row>
    <row r="37" ht="12.75" customHeight="1">
      <c r="A37" s="3"/>
      <c r="B37" s="98"/>
      <c r="C37" s="3"/>
      <c r="D37" s="3"/>
      <c r="E37" s="3"/>
      <c r="F37" s="3"/>
      <c r="G37" s="3"/>
      <c r="H37" s="3"/>
      <c r="I37" s="3"/>
      <c r="J37" s="3"/>
      <c r="K37" s="3"/>
      <c r="L37" s="3"/>
      <c r="M37" s="3"/>
      <c r="N37" s="3"/>
      <c r="O37" s="3"/>
      <c r="P37" s="3"/>
      <c r="Q37" s="3"/>
      <c r="R37" s="3"/>
      <c r="S37" s="3"/>
      <c r="T37" s="3"/>
      <c r="U37" s="3"/>
      <c r="V37" s="3"/>
      <c r="W37" s="3"/>
      <c r="X37" s="3"/>
      <c r="Y37" s="3"/>
      <c r="Z37" s="3"/>
    </row>
    <row r="38" ht="12.75" customHeight="1">
      <c r="A38" s="3"/>
      <c r="B38" s="98"/>
      <c r="C38" s="3"/>
      <c r="D38" s="3"/>
      <c r="E38" s="3"/>
      <c r="F38" s="3"/>
      <c r="G38" s="3"/>
      <c r="H38" s="3"/>
      <c r="I38" s="3"/>
      <c r="J38" s="3"/>
      <c r="K38" s="3"/>
      <c r="L38" s="3"/>
      <c r="M38" s="3"/>
      <c r="N38" s="3"/>
      <c r="O38" s="3"/>
      <c r="P38" s="3"/>
      <c r="Q38" s="3"/>
      <c r="R38" s="3"/>
      <c r="S38" s="3"/>
      <c r="T38" s="3"/>
      <c r="U38" s="3"/>
      <c r="V38" s="3"/>
      <c r="W38" s="3"/>
      <c r="X38" s="3"/>
      <c r="Y38" s="3"/>
      <c r="Z38" s="3"/>
    </row>
    <row r="39" ht="12.75" customHeight="1">
      <c r="A39" s="3"/>
      <c r="B39" s="98"/>
      <c r="C39" s="3"/>
      <c r="D39" s="3"/>
      <c r="E39" s="3"/>
      <c r="F39" s="3"/>
      <c r="G39" s="3"/>
      <c r="H39" s="3"/>
      <c r="I39" s="3"/>
      <c r="J39" s="3"/>
      <c r="K39" s="3"/>
      <c r="L39" s="3"/>
      <c r="M39" s="3"/>
      <c r="N39" s="3"/>
      <c r="O39" s="3"/>
      <c r="P39" s="3"/>
      <c r="Q39" s="3"/>
      <c r="R39" s="3"/>
      <c r="S39" s="3"/>
      <c r="T39" s="3"/>
      <c r="U39" s="3"/>
      <c r="V39" s="3"/>
      <c r="W39" s="3"/>
      <c r="X39" s="3"/>
      <c r="Y39" s="3"/>
      <c r="Z39" s="3"/>
    </row>
    <row r="40" ht="12.75" customHeight="1">
      <c r="A40" s="3"/>
      <c r="B40" s="98"/>
      <c r="C40" s="3"/>
      <c r="D40" s="3"/>
      <c r="E40" s="3"/>
      <c r="F40" s="3"/>
      <c r="G40" s="3"/>
      <c r="H40" s="3"/>
      <c r="I40" s="3"/>
      <c r="J40" s="3"/>
      <c r="K40" s="3"/>
      <c r="L40" s="3"/>
      <c r="M40" s="3"/>
      <c r="N40" s="3"/>
      <c r="O40" s="3"/>
      <c r="P40" s="3"/>
      <c r="Q40" s="3"/>
      <c r="R40" s="3"/>
      <c r="S40" s="3"/>
      <c r="T40" s="3"/>
      <c r="U40" s="3"/>
      <c r="V40" s="3"/>
      <c r="W40" s="3"/>
      <c r="X40" s="3"/>
      <c r="Y40" s="3"/>
      <c r="Z40" s="3"/>
    </row>
    <row r="41" ht="12.75" customHeight="1">
      <c r="A41" s="3"/>
      <c r="B41" s="98"/>
      <c r="C41" s="3"/>
      <c r="D41" s="3"/>
      <c r="E41" s="3"/>
      <c r="F41" s="3"/>
      <c r="G41" s="3"/>
      <c r="H41" s="3"/>
      <c r="I41" s="3"/>
      <c r="J41" s="3"/>
      <c r="K41" s="3"/>
      <c r="L41" s="3"/>
      <c r="M41" s="3"/>
      <c r="N41" s="3"/>
      <c r="O41" s="3"/>
      <c r="P41" s="3"/>
      <c r="Q41" s="3"/>
      <c r="R41" s="3"/>
      <c r="S41" s="3"/>
      <c r="T41" s="3"/>
      <c r="U41" s="3"/>
      <c r="V41" s="3"/>
      <c r="W41" s="3"/>
      <c r="X41" s="3"/>
      <c r="Y41" s="3"/>
      <c r="Z41" s="3"/>
    </row>
    <row r="42" ht="12.75" customHeight="1">
      <c r="A42" s="3"/>
      <c r="B42" s="98"/>
      <c r="C42" s="3"/>
      <c r="D42" s="3"/>
      <c r="E42" s="3"/>
      <c r="F42" s="3"/>
      <c r="G42" s="3"/>
      <c r="H42" s="3"/>
      <c r="I42" s="3"/>
      <c r="J42" s="3"/>
      <c r="K42" s="3"/>
      <c r="L42" s="3"/>
      <c r="M42" s="3"/>
      <c r="N42" s="3"/>
      <c r="O42" s="3"/>
      <c r="P42" s="3"/>
      <c r="Q42" s="3"/>
      <c r="R42" s="3"/>
      <c r="S42" s="3"/>
      <c r="T42" s="3"/>
      <c r="U42" s="3"/>
      <c r="V42" s="3"/>
      <c r="W42" s="3"/>
      <c r="X42" s="3"/>
      <c r="Y42" s="3"/>
      <c r="Z42" s="3"/>
    </row>
    <row r="43" ht="12.75" customHeight="1">
      <c r="A43" s="3"/>
      <c r="B43" s="98"/>
      <c r="C43" s="3"/>
      <c r="D43" s="3"/>
      <c r="E43" s="3"/>
      <c r="F43" s="3"/>
      <c r="G43" s="3"/>
      <c r="H43" s="3"/>
      <c r="I43" s="3"/>
      <c r="J43" s="3"/>
      <c r="K43" s="3"/>
      <c r="L43" s="3"/>
      <c r="M43" s="3"/>
      <c r="N43" s="3"/>
      <c r="O43" s="3"/>
      <c r="P43" s="3"/>
      <c r="Q43" s="3"/>
      <c r="R43" s="3"/>
      <c r="S43" s="3"/>
      <c r="T43" s="3"/>
      <c r="U43" s="3"/>
      <c r="V43" s="3"/>
      <c r="W43" s="3"/>
      <c r="X43" s="3"/>
      <c r="Y43" s="3"/>
      <c r="Z43" s="3"/>
    </row>
    <row r="44" ht="12.75" customHeight="1">
      <c r="A44" s="3"/>
      <c r="B44" s="98"/>
      <c r="C44" s="3"/>
      <c r="D44" s="3"/>
      <c r="E44" s="3"/>
      <c r="F44" s="3"/>
      <c r="G44" s="3"/>
      <c r="H44" s="3"/>
      <c r="I44" s="3"/>
      <c r="J44" s="3"/>
      <c r="K44" s="3"/>
      <c r="L44" s="3"/>
      <c r="M44" s="3"/>
      <c r="N44" s="3"/>
      <c r="O44" s="3"/>
      <c r="P44" s="3"/>
      <c r="Q44" s="3"/>
      <c r="R44" s="3"/>
      <c r="S44" s="3"/>
      <c r="T44" s="3"/>
      <c r="U44" s="3"/>
      <c r="V44" s="3"/>
      <c r="W44" s="3"/>
      <c r="X44" s="3"/>
      <c r="Y44" s="3"/>
      <c r="Z44" s="3"/>
    </row>
    <row r="45" ht="12.75" customHeight="1">
      <c r="A45" s="3"/>
      <c r="B45" s="98"/>
      <c r="C45" s="3"/>
      <c r="D45" s="3"/>
      <c r="E45" s="3"/>
      <c r="F45" s="3"/>
      <c r="G45" s="3"/>
      <c r="H45" s="3"/>
      <c r="I45" s="3"/>
      <c r="J45" s="3"/>
      <c r="K45" s="3"/>
      <c r="L45" s="3"/>
      <c r="M45" s="3"/>
      <c r="N45" s="3"/>
      <c r="O45" s="3"/>
      <c r="P45" s="3"/>
      <c r="Q45" s="3"/>
      <c r="R45" s="3"/>
      <c r="S45" s="3"/>
      <c r="T45" s="3"/>
      <c r="U45" s="3"/>
      <c r="V45" s="3"/>
      <c r="W45" s="3"/>
      <c r="X45" s="3"/>
      <c r="Y45" s="3"/>
      <c r="Z45" s="3"/>
    </row>
    <row r="46" ht="12.75" customHeight="1">
      <c r="A46" s="3"/>
      <c r="B46" s="98"/>
      <c r="C46" s="3"/>
      <c r="D46" s="3"/>
      <c r="E46" s="3"/>
      <c r="F46" s="3"/>
      <c r="G46" s="3"/>
      <c r="H46" s="3"/>
      <c r="I46" s="3"/>
      <c r="J46" s="3"/>
      <c r="K46" s="3"/>
      <c r="L46" s="3"/>
      <c r="M46" s="3"/>
      <c r="N46" s="3"/>
      <c r="O46" s="3"/>
      <c r="P46" s="3"/>
      <c r="Q46" s="3"/>
      <c r="R46" s="3"/>
      <c r="S46" s="3"/>
      <c r="T46" s="3"/>
      <c r="U46" s="3"/>
      <c r="V46" s="3"/>
      <c r="W46" s="3"/>
      <c r="X46" s="3"/>
      <c r="Y46" s="3"/>
      <c r="Z46" s="3"/>
    </row>
    <row r="47" ht="12.75" customHeight="1">
      <c r="A47" s="3"/>
      <c r="B47" s="98"/>
      <c r="C47" s="3"/>
      <c r="D47" s="3"/>
      <c r="E47" s="3"/>
      <c r="F47" s="3"/>
      <c r="G47" s="3"/>
      <c r="H47" s="3"/>
      <c r="I47" s="3"/>
      <c r="J47" s="3"/>
      <c r="K47" s="3"/>
      <c r="L47" s="3"/>
      <c r="M47" s="3"/>
      <c r="N47" s="3"/>
      <c r="O47" s="3"/>
      <c r="P47" s="3"/>
      <c r="Q47" s="3"/>
      <c r="R47" s="3"/>
      <c r="S47" s="3"/>
      <c r="T47" s="3"/>
      <c r="U47" s="3"/>
      <c r="V47" s="3"/>
      <c r="W47" s="3"/>
      <c r="X47" s="3"/>
      <c r="Y47" s="3"/>
      <c r="Z47" s="3"/>
    </row>
    <row r="48" ht="12.75" customHeight="1">
      <c r="A48" s="3"/>
      <c r="B48" s="98"/>
      <c r="C48" s="3"/>
      <c r="D48" s="3"/>
      <c r="E48" s="3"/>
      <c r="F48" s="3"/>
      <c r="G48" s="3"/>
      <c r="H48" s="3"/>
      <c r="I48" s="3"/>
      <c r="J48" s="3"/>
      <c r="K48" s="3"/>
      <c r="L48" s="3"/>
      <c r="M48" s="3"/>
      <c r="N48" s="3"/>
      <c r="O48" s="3"/>
      <c r="P48" s="3"/>
      <c r="Q48" s="3"/>
      <c r="R48" s="3"/>
      <c r="S48" s="3"/>
      <c r="T48" s="3"/>
      <c r="U48" s="3"/>
      <c r="V48" s="3"/>
      <c r="W48" s="3"/>
      <c r="X48" s="3"/>
      <c r="Y48" s="3"/>
      <c r="Z48" s="3"/>
    </row>
    <row r="49" ht="12.75" customHeight="1">
      <c r="A49" s="3"/>
      <c r="B49" s="98"/>
      <c r="C49" s="3"/>
      <c r="D49" s="3"/>
      <c r="E49" s="3"/>
      <c r="F49" s="3"/>
      <c r="G49" s="3"/>
      <c r="H49" s="3"/>
      <c r="I49" s="3"/>
      <c r="J49" s="3"/>
      <c r="K49" s="3"/>
      <c r="L49" s="3"/>
      <c r="M49" s="3"/>
      <c r="N49" s="3"/>
      <c r="O49" s="3"/>
      <c r="P49" s="3"/>
      <c r="Q49" s="3"/>
      <c r="R49" s="3"/>
      <c r="S49" s="3"/>
      <c r="T49" s="3"/>
      <c r="U49" s="3"/>
      <c r="V49" s="3"/>
      <c r="W49" s="3"/>
      <c r="X49" s="3"/>
      <c r="Y49" s="3"/>
      <c r="Z49" s="3"/>
    </row>
    <row r="50" ht="12.75" customHeight="1">
      <c r="A50" s="3"/>
      <c r="B50" s="98"/>
      <c r="C50" s="3"/>
      <c r="D50" s="3"/>
      <c r="E50" s="3"/>
      <c r="F50" s="3"/>
      <c r="G50" s="3"/>
      <c r="H50" s="3"/>
      <c r="I50" s="3"/>
      <c r="J50" s="3"/>
      <c r="K50" s="3"/>
      <c r="L50" s="3"/>
      <c r="M50" s="3"/>
      <c r="N50" s="3"/>
      <c r="O50" s="3"/>
      <c r="P50" s="3"/>
      <c r="Q50" s="3"/>
      <c r="R50" s="3"/>
      <c r="S50" s="3"/>
      <c r="T50" s="3"/>
      <c r="U50" s="3"/>
      <c r="V50" s="3"/>
      <c r="W50" s="3"/>
      <c r="X50" s="3"/>
      <c r="Y50" s="3"/>
      <c r="Z50" s="3"/>
    </row>
    <row r="51" ht="12.75" customHeight="1">
      <c r="A51" s="3"/>
      <c r="B51" s="98"/>
      <c r="C51" s="3"/>
      <c r="D51" s="3"/>
      <c r="E51" s="3"/>
      <c r="F51" s="3"/>
      <c r="G51" s="3"/>
      <c r="H51" s="3"/>
      <c r="I51" s="3"/>
      <c r="J51" s="3"/>
      <c r="K51" s="3"/>
      <c r="L51" s="3"/>
      <c r="M51" s="3"/>
      <c r="N51" s="3"/>
      <c r="O51" s="3"/>
      <c r="P51" s="3"/>
      <c r="Q51" s="3"/>
      <c r="R51" s="3"/>
      <c r="S51" s="3"/>
      <c r="T51" s="3"/>
      <c r="U51" s="3"/>
      <c r="V51" s="3"/>
      <c r="W51" s="3"/>
      <c r="X51" s="3"/>
      <c r="Y51" s="3"/>
      <c r="Z51" s="3"/>
    </row>
    <row r="52" ht="12.75" customHeight="1">
      <c r="A52" s="3"/>
      <c r="B52" s="98"/>
      <c r="C52" s="3"/>
      <c r="D52" s="3"/>
      <c r="E52" s="3"/>
      <c r="F52" s="3"/>
      <c r="G52" s="3"/>
      <c r="H52" s="3"/>
      <c r="I52" s="3"/>
      <c r="J52" s="3"/>
      <c r="K52" s="3"/>
      <c r="L52" s="3"/>
      <c r="M52" s="3"/>
      <c r="N52" s="3"/>
      <c r="O52" s="3"/>
      <c r="P52" s="3"/>
      <c r="Q52" s="3"/>
      <c r="R52" s="3"/>
      <c r="S52" s="3"/>
      <c r="T52" s="3"/>
      <c r="U52" s="3"/>
      <c r="V52" s="3"/>
      <c r="W52" s="3"/>
      <c r="X52" s="3"/>
      <c r="Y52" s="3"/>
      <c r="Z52" s="3"/>
    </row>
    <row r="53" ht="12.75" customHeight="1">
      <c r="A53" s="3"/>
      <c r="B53" s="98"/>
      <c r="C53" s="3"/>
      <c r="D53" s="3"/>
      <c r="E53" s="3"/>
      <c r="F53" s="3"/>
      <c r="G53" s="3"/>
      <c r="H53" s="3"/>
      <c r="I53" s="3"/>
      <c r="J53" s="3"/>
      <c r="K53" s="3"/>
      <c r="L53" s="3"/>
      <c r="M53" s="3"/>
      <c r="N53" s="3"/>
      <c r="O53" s="3"/>
      <c r="P53" s="3"/>
      <c r="Q53" s="3"/>
      <c r="R53" s="3"/>
      <c r="S53" s="3"/>
      <c r="T53" s="3"/>
      <c r="U53" s="3"/>
      <c r="V53" s="3"/>
      <c r="W53" s="3"/>
      <c r="X53" s="3"/>
      <c r="Y53" s="3"/>
      <c r="Z53" s="3"/>
    </row>
    <row r="54" ht="12.75" customHeight="1">
      <c r="A54" s="3"/>
      <c r="B54" s="98"/>
      <c r="C54" s="3"/>
      <c r="D54" s="3"/>
      <c r="E54" s="3"/>
      <c r="F54" s="3"/>
      <c r="G54" s="3"/>
      <c r="H54" s="3"/>
      <c r="I54" s="3"/>
      <c r="J54" s="3"/>
      <c r="K54" s="3"/>
      <c r="L54" s="3"/>
      <c r="M54" s="3"/>
      <c r="N54" s="3"/>
      <c r="O54" s="3"/>
      <c r="P54" s="3"/>
      <c r="Q54" s="3"/>
      <c r="R54" s="3"/>
      <c r="S54" s="3"/>
      <c r="T54" s="3"/>
      <c r="U54" s="3"/>
      <c r="V54" s="3"/>
      <c r="W54" s="3"/>
      <c r="X54" s="3"/>
      <c r="Y54" s="3"/>
      <c r="Z54" s="3"/>
    </row>
    <row r="55" ht="12.75" customHeight="1">
      <c r="A55" s="3"/>
      <c r="B55" s="98"/>
      <c r="C55" s="3"/>
      <c r="D55" s="3"/>
      <c r="E55" s="3"/>
      <c r="F55" s="3"/>
      <c r="G55" s="3"/>
      <c r="H55" s="3"/>
      <c r="I55" s="3"/>
      <c r="J55" s="3"/>
      <c r="K55" s="3"/>
      <c r="L55" s="3"/>
      <c r="M55" s="3"/>
      <c r="N55" s="3"/>
      <c r="O55" s="3"/>
      <c r="P55" s="3"/>
      <c r="Q55" s="3"/>
      <c r="R55" s="3"/>
      <c r="S55" s="3"/>
      <c r="T55" s="3"/>
      <c r="U55" s="3"/>
      <c r="V55" s="3"/>
      <c r="W55" s="3"/>
      <c r="X55" s="3"/>
      <c r="Y55" s="3"/>
      <c r="Z55" s="3"/>
    </row>
    <row r="56" ht="12.75" customHeight="1">
      <c r="A56" s="3"/>
      <c r="B56" s="98"/>
      <c r="C56" s="3"/>
      <c r="D56" s="3"/>
      <c r="E56" s="3"/>
      <c r="F56" s="3"/>
      <c r="G56" s="3"/>
      <c r="H56" s="3"/>
      <c r="I56" s="3"/>
      <c r="J56" s="3"/>
      <c r="K56" s="3"/>
      <c r="L56" s="3"/>
      <c r="M56" s="3"/>
      <c r="N56" s="3"/>
      <c r="O56" s="3"/>
      <c r="P56" s="3"/>
      <c r="Q56" s="3"/>
      <c r="R56" s="3"/>
      <c r="S56" s="3"/>
      <c r="T56" s="3"/>
      <c r="U56" s="3"/>
      <c r="V56" s="3"/>
      <c r="W56" s="3"/>
      <c r="X56" s="3"/>
      <c r="Y56" s="3"/>
      <c r="Z56" s="3"/>
    </row>
    <row r="57" ht="12.75" customHeight="1">
      <c r="A57" s="3"/>
      <c r="B57" s="98"/>
      <c r="C57" s="3"/>
      <c r="D57" s="3"/>
      <c r="E57" s="3"/>
      <c r="F57" s="3"/>
      <c r="G57" s="3"/>
      <c r="H57" s="3"/>
      <c r="I57" s="3"/>
      <c r="J57" s="3"/>
      <c r="K57" s="3"/>
      <c r="L57" s="3"/>
      <c r="M57" s="3"/>
      <c r="N57" s="3"/>
      <c r="O57" s="3"/>
      <c r="P57" s="3"/>
      <c r="Q57" s="3"/>
      <c r="R57" s="3"/>
      <c r="S57" s="3"/>
      <c r="T57" s="3"/>
      <c r="U57" s="3"/>
      <c r="V57" s="3"/>
      <c r="W57" s="3"/>
      <c r="X57" s="3"/>
      <c r="Y57" s="3"/>
      <c r="Z57" s="3"/>
    </row>
    <row r="58" ht="12.75" customHeight="1">
      <c r="A58" s="3"/>
      <c r="B58" s="98"/>
      <c r="C58" s="3"/>
      <c r="D58" s="3"/>
      <c r="E58" s="3"/>
      <c r="F58" s="3"/>
      <c r="G58" s="3"/>
      <c r="H58" s="3"/>
      <c r="I58" s="3"/>
      <c r="J58" s="3"/>
      <c r="K58" s="3"/>
      <c r="L58" s="3"/>
      <c r="M58" s="3"/>
      <c r="N58" s="3"/>
      <c r="O58" s="3"/>
      <c r="P58" s="3"/>
      <c r="Q58" s="3"/>
      <c r="R58" s="3"/>
      <c r="S58" s="3"/>
      <c r="T58" s="3"/>
      <c r="U58" s="3"/>
      <c r="V58" s="3"/>
      <c r="W58" s="3"/>
      <c r="X58" s="3"/>
      <c r="Y58" s="3"/>
      <c r="Z58" s="3"/>
    </row>
    <row r="59" ht="12.75" customHeight="1">
      <c r="A59" s="3"/>
      <c r="B59" s="98"/>
      <c r="C59" s="3"/>
      <c r="D59" s="3"/>
      <c r="E59" s="3"/>
      <c r="F59" s="3"/>
      <c r="G59" s="3"/>
      <c r="H59" s="3"/>
      <c r="I59" s="3"/>
      <c r="J59" s="3"/>
      <c r="K59" s="3"/>
      <c r="L59" s="3"/>
      <c r="M59" s="3"/>
      <c r="N59" s="3"/>
      <c r="O59" s="3"/>
      <c r="P59" s="3"/>
      <c r="Q59" s="3"/>
      <c r="R59" s="3"/>
      <c r="S59" s="3"/>
      <c r="T59" s="3"/>
      <c r="U59" s="3"/>
      <c r="V59" s="3"/>
      <c r="W59" s="3"/>
      <c r="X59" s="3"/>
      <c r="Y59" s="3"/>
      <c r="Z59" s="3"/>
    </row>
    <row r="60" ht="12.75" customHeight="1">
      <c r="A60" s="3"/>
      <c r="B60" s="98"/>
      <c r="C60" s="3"/>
      <c r="D60" s="3"/>
      <c r="E60" s="3"/>
      <c r="F60" s="3"/>
      <c r="G60" s="3"/>
      <c r="H60" s="3"/>
      <c r="I60" s="3"/>
      <c r="J60" s="3"/>
      <c r="K60" s="3"/>
      <c r="L60" s="3"/>
      <c r="M60" s="3"/>
      <c r="N60" s="3"/>
      <c r="O60" s="3"/>
      <c r="P60" s="3"/>
      <c r="Q60" s="3"/>
      <c r="R60" s="3"/>
      <c r="S60" s="3"/>
      <c r="T60" s="3"/>
      <c r="U60" s="3"/>
      <c r="V60" s="3"/>
      <c r="W60" s="3"/>
      <c r="X60" s="3"/>
      <c r="Y60" s="3"/>
      <c r="Z60" s="3"/>
    </row>
    <row r="61" ht="12.75" customHeight="1">
      <c r="A61" s="3"/>
      <c r="B61" s="98"/>
      <c r="C61" s="3"/>
      <c r="D61" s="3"/>
      <c r="E61" s="3"/>
      <c r="F61" s="3"/>
      <c r="G61" s="3"/>
      <c r="H61" s="3"/>
      <c r="I61" s="3"/>
      <c r="J61" s="3"/>
      <c r="K61" s="3"/>
      <c r="L61" s="3"/>
      <c r="M61" s="3"/>
      <c r="N61" s="3"/>
      <c r="O61" s="3"/>
      <c r="P61" s="3"/>
      <c r="Q61" s="3"/>
      <c r="R61" s="3"/>
      <c r="S61" s="3"/>
      <c r="T61" s="3"/>
      <c r="U61" s="3"/>
      <c r="V61" s="3"/>
      <c r="W61" s="3"/>
      <c r="X61" s="3"/>
      <c r="Y61" s="3"/>
      <c r="Z61" s="3"/>
    </row>
    <row r="62" ht="12.75" customHeight="1">
      <c r="A62" s="3"/>
      <c r="B62" s="98"/>
      <c r="C62" s="3"/>
      <c r="D62" s="3"/>
      <c r="E62" s="3"/>
      <c r="F62" s="3"/>
      <c r="G62" s="3"/>
      <c r="H62" s="3"/>
      <c r="I62" s="3"/>
      <c r="J62" s="3"/>
      <c r="K62" s="3"/>
      <c r="L62" s="3"/>
      <c r="M62" s="3"/>
      <c r="N62" s="3"/>
      <c r="O62" s="3"/>
      <c r="P62" s="3"/>
      <c r="Q62" s="3"/>
      <c r="R62" s="3"/>
      <c r="S62" s="3"/>
      <c r="T62" s="3"/>
      <c r="U62" s="3"/>
      <c r="V62" s="3"/>
      <c r="W62" s="3"/>
      <c r="X62" s="3"/>
      <c r="Y62" s="3"/>
      <c r="Z62" s="3"/>
    </row>
    <row r="63" ht="12.75" customHeight="1">
      <c r="A63" s="3"/>
      <c r="B63" s="98"/>
      <c r="C63" s="3"/>
      <c r="D63" s="3"/>
      <c r="E63" s="3"/>
      <c r="F63" s="3"/>
      <c r="G63" s="3"/>
      <c r="H63" s="3"/>
      <c r="I63" s="3"/>
      <c r="J63" s="3"/>
      <c r="K63" s="3"/>
      <c r="L63" s="3"/>
      <c r="M63" s="3"/>
      <c r="N63" s="3"/>
      <c r="O63" s="3"/>
      <c r="P63" s="3"/>
      <c r="Q63" s="3"/>
      <c r="R63" s="3"/>
      <c r="S63" s="3"/>
      <c r="T63" s="3"/>
      <c r="U63" s="3"/>
      <c r="V63" s="3"/>
      <c r="W63" s="3"/>
      <c r="X63" s="3"/>
      <c r="Y63" s="3"/>
      <c r="Z63" s="3"/>
    </row>
    <row r="64" ht="12.75" customHeight="1">
      <c r="A64" s="3"/>
      <c r="B64" s="98"/>
      <c r="C64" s="3"/>
      <c r="D64" s="3"/>
      <c r="E64" s="3"/>
      <c r="F64" s="3"/>
      <c r="G64" s="3"/>
      <c r="H64" s="3"/>
      <c r="I64" s="3"/>
      <c r="J64" s="3"/>
      <c r="K64" s="3"/>
      <c r="L64" s="3"/>
      <c r="M64" s="3"/>
      <c r="N64" s="3"/>
      <c r="O64" s="3"/>
      <c r="P64" s="3"/>
      <c r="Q64" s="3"/>
      <c r="R64" s="3"/>
      <c r="S64" s="3"/>
      <c r="T64" s="3"/>
      <c r="U64" s="3"/>
      <c r="V64" s="3"/>
      <c r="W64" s="3"/>
      <c r="X64" s="3"/>
      <c r="Y64" s="3"/>
      <c r="Z64" s="3"/>
    </row>
    <row r="65" ht="12.75" customHeight="1">
      <c r="A65" s="3"/>
      <c r="B65" s="98"/>
      <c r="C65" s="3"/>
      <c r="D65" s="3"/>
      <c r="E65" s="3"/>
      <c r="F65" s="3"/>
      <c r="G65" s="3"/>
      <c r="H65" s="3"/>
      <c r="I65" s="3"/>
      <c r="J65" s="3"/>
      <c r="K65" s="3"/>
      <c r="L65" s="3"/>
      <c r="M65" s="3"/>
      <c r="N65" s="3"/>
      <c r="O65" s="3"/>
      <c r="P65" s="3"/>
      <c r="Q65" s="3"/>
      <c r="R65" s="3"/>
      <c r="S65" s="3"/>
      <c r="T65" s="3"/>
      <c r="U65" s="3"/>
      <c r="V65" s="3"/>
      <c r="W65" s="3"/>
      <c r="X65" s="3"/>
      <c r="Y65" s="3"/>
      <c r="Z65" s="3"/>
    </row>
    <row r="66" ht="12.75" customHeight="1">
      <c r="A66" s="3"/>
      <c r="B66" s="98"/>
      <c r="C66" s="3"/>
      <c r="D66" s="3"/>
      <c r="E66" s="3"/>
      <c r="F66" s="3"/>
      <c r="G66" s="3"/>
      <c r="H66" s="3"/>
      <c r="I66" s="3"/>
      <c r="J66" s="3"/>
      <c r="K66" s="3"/>
      <c r="L66" s="3"/>
      <c r="M66" s="3"/>
      <c r="N66" s="3"/>
      <c r="O66" s="3"/>
      <c r="P66" s="3"/>
      <c r="Q66" s="3"/>
      <c r="R66" s="3"/>
      <c r="S66" s="3"/>
      <c r="T66" s="3"/>
      <c r="U66" s="3"/>
      <c r="V66" s="3"/>
      <c r="W66" s="3"/>
      <c r="X66" s="3"/>
      <c r="Y66" s="3"/>
      <c r="Z66" s="3"/>
    </row>
    <row r="67" ht="12.75" customHeight="1">
      <c r="A67" s="3"/>
      <c r="B67" s="98"/>
      <c r="C67" s="3"/>
      <c r="D67" s="3"/>
      <c r="E67" s="3"/>
      <c r="F67" s="3"/>
      <c r="G67" s="3"/>
      <c r="H67" s="3"/>
      <c r="I67" s="3"/>
      <c r="J67" s="3"/>
      <c r="K67" s="3"/>
      <c r="L67" s="3"/>
      <c r="M67" s="3"/>
      <c r="N67" s="3"/>
      <c r="O67" s="3"/>
      <c r="P67" s="3"/>
      <c r="Q67" s="3"/>
      <c r="R67" s="3"/>
      <c r="S67" s="3"/>
      <c r="T67" s="3"/>
      <c r="U67" s="3"/>
      <c r="V67" s="3"/>
      <c r="W67" s="3"/>
      <c r="X67" s="3"/>
      <c r="Y67" s="3"/>
      <c r="Z67" s="3"/>
    </row>
    <row r="68" ht="12.75" customHeight="1">
      <c r="A68" s="3"/>
      <c r="B68" s="98"/>
      <c r="C68" s="3"/>
      <c r="D68" s="3"/>
      <c r="E68" s="3"/>
      <c r="F68" s="3"/>
      <c r="G68" s="3"/>
      <c r="H68" s="3"/>
      <c r="I68" s="3"/>
      <c r="J68" s="3"/>
      <c r="K68" s="3"/>
      <c r="L68" s="3"/>
      <c r="M68" s="3"/>
      <c r="N68" s="3"/>
      <c r="O68" s="3"/>
      <c r="P68" s="3"/>
      <c r="Q68" s="3"/>
      <c r="R68" s="3"/>
      <c r="S68" s="3"/>
      <c r="T68" s="3"/>
      <c r="U68" s="3"/>
      <c r="V68" s="3"/>
      <c r="W68" s="3"/>
      <c r="X68" s="3"/>
      <c r="Y68" s="3"/>
      <c r="Z68" s="3"/>
    </row>
    <row r="69" ht="12.75" customHeight="1">
      <c r="A69" s="3"/>
      <c r="B69" s="98"/>
      <c r="C69" s="3"/>
      <c r="D69" s="3"/>
      <c r="E69" s="3"/>
      <c r="F69" s="3"/>
      <c r="G69" s="3"/>
      <c r="H69" s="3"/>
      <c r="I69" s="3"/>
      <c r="J69" s="3"/>
      <c r="K69" s="3"/>
      <c r="L69" s="3"/>
      <c r="M69" s="3"/>
      <c r="N69" s="3"/>
      <c r="O69" s="3"/>
      <c r="P69" s="3"/>
      <c r="Q69" s="3"/>
      <c r="R69" s="3"/>
      <c r="S69" s="3"/>
      <c r="T69" s="3"/>
      <c r="U69" s="3"/>
      <c r="V69" s="3"/>
      <c r="W69" s="3"/>
      <c r="X69" s="3"/>
      <c r="Y69" s="3"/>
      <c r="Z69" s="3"/>
    </row>
    <row r="70" ht="12.75" customHeight="1">
      <c r="A70" s="3"/>
      <c r="B70" s="98"/>
      <c r="C70" s="3"/>
      <c r="D70" s="3"/>
      <c r="E70" s="3"/>
      <c r="F70" s="3"/>
      <c r="G70" s="3"/>
      <c r="H70" s="3"/>
      <c r="I70" s="3"/>
      <c r="J70" s="3"/>
      <c r="K70" s="3"/>
      <c r="L70" s="3"/>
      <c r="M70" s="3"/>
      <c r="N70" s="3"/>
      <c r="O70" s="3"/>
      <c r="P70" s="3"/>
      <c r="Q70" s="3"/>
      <c r="R70" s="3"/>
      <c r="S70" s="3"/>
      <c r="T70" s="3"/>
      <c r="U70" s="3"/>
      <c r="V70" s="3"/>
      <c r="W70" s="3"/>
      <c r="X70" s="3"/>
      <c r="Y70" s="3"/>
      <c r="Z70" s="3"/>
    </row>
    <row r="71" ht="12.75" customHeight="1">
      <c r="A71" s="3"/>
      <c r="B71" s="98"/>
      <c r="C71" s="3"/>
      <c r="D71" s="3"/>
      <c r="E71" s="3"/>
      <c r="F71" s="3"/>
      <c r="G71" s="3"/>
      <c r="H71" s="3"/>
      <c r="I71" s="3"/>
      <c r="J71" s="3"/>
      <c r="K71" s="3"/>
      <c r="L71" s="3"/>
      <c r="M71" s="3"/>
      <c r="N71" s="3"/>
      <c r="O71" s="3"/>
      <c r="P71" s="3"/>
      <c r="Q71" s="3"/>
      <c r="R71" s="3"/>
      <c r="S71" s="3"/>
      <c r="T71" s="3"/>
      <c r="U71" s="3"/>
      <c r="V71" s="3"/>
      <c r="W71" s="3"/>
      <c r="X71" s="3"/>
      <c r="Y71" s="3"/>
      <c r="Z71" s="3"/>
    </row>
    <row r="72" ht="12.75" customHeight="1">
      <c r="A72" s="3"/>
      <c r="B72" s="98"/>
      <c r="C72" s="3"/>
      <c r="D72" s="3"/>
      <c r="E72" s="3"/>
      <c r="F72" s="3"/>
      <c r="G72" s="3"/>
      <c r="H72" s="3"/>
      <c r="I72" s="3"/>
      <c r="J72" s="3"/>
      <c r="K72" s="3"/>
      <c r="L72" s="3"/>
      <c r="M72" s="3"/>
      <c r="N72" s="3"/>
      <c r="O72" s="3"/>
      <c r="P72" s="3"/>
      <c r="Q72" s="3"/>
      <c r="R72" s="3"/>
      <c r="S72" s="3"/>
      <c r="T72" s="3"/>
      <c r="U72" s="3"/>
      <c r="V72" s="3"/>
      <c r="W72" s="3"/>
      <c r="X72" s="3"/>
      <c r="Y72" s="3"/>
      <c r="Z72" s="3"/>
    </row>
    <row r="73" ht="12.75" customHeight="1">
      <c r="A73" s="3"/>
      <c r="B73" s="98"/>
      <c r="C73" s="3"/>
      <c r="D73" s="3"/>
      <c r="E73" s="3"/>
      <c r="F73" s="3"/>
      <c r="G73" s="3"/>
      <c r="H73" s="3"/>
      <c r="I73" s="3"/>
      <c r="J73" s="3"/>
      <c r="K73" s="3"/>
      <c r="L73" s="3"/>
      <c r="M73" s="3"/>
      <c r="N73" s="3"/>
      <c r="O73" s="3"/>
      <c r="P73" s="3"/>
      <c r="Q73" s="3"/>
      <c r="R73" s="3"/>
      <c r="S73" s="3"/>
      <c r="T73" s="3"/>
      <c r="U73" s="3"/>
      <c r="V73" s="3"/>
      <c r="W73" s="3"/>
      <c r="X73" s="3"/>
      <c r="Y73" s="3"/>
      <c r="Z73" s="3"/>
    </row>
    <row r="74" ht="12.75" customHeight="1">
      <c r="A74" s="3"/>
      <c r="B74" s="98"/>
      <c r="C74" s="3"/>
      <c r="D74" s="3"/>
      <c r="E74" s="3"/>
      <c r="F74" s="3"/>
      <c r="G74" s="3"/>
      <c r="H74" s="3"/>
      <c r="I74" s="3"/>
      <c r="J74" s="3"/>
      <c r="K74" s="3"/>
      <c r="L74" s="3"/>
      <c r="M74" s="3"/>
      <c r="N74" s="3"/>
      <c r="O74" s="3"/>
      <c r="P74" s="3"/>
      <c r="Q74" s="3"/>
      <c r="R74" s="3"/>
      <c r="S74" s="3"/>
      <c r="T74" s="3"/>
      <c r="U74" s="3"/>
      <c r="V74" s="3"/>
      <c r="W74" s="3"/>
      <c r="X74" s="3"/>
      <c r="Y74" s="3"/>
      <c r="Z74" s="3"/>
    </row>
    <row r="75" ht="12.75" customHeight="1">
      <c r="A75" s="3"/>
      <c r="B75" s="98"/>
      <c r="C75" s="3"/>
      <c r="D75" s="3"/>
      <c r="E75" s="3"/>
      <c r="F75" s="3"/>
      <c r="G75" s="3"/>
      <c r="H75" s="3"/>
      <c r="I75" s="3"/>
      <c r="J75" s="3"/>
      <c r="K75" s="3"/>
      <c r="L75" s="3"/>
      <c r="M75" s="3"/>
      <c r="N75" s="3"/>
      <c r="O75" s="3"/>
      <c r="P75" s="3"/>
      <c r="Q75" s="3"/>
      <c r="R75" s="3"/>
      <c r="S75" s="3"/>
      <c r="T75" s="3"/>
      <c r="U75" s="3"/>
      <c r="V75" s="3"/>
      <c r="W75" s="3"/>
      <c r="X75" s="3"/>
      <c r="Y75" s="3"/>
      <c r="Z75" s="3"/>
    </row>
    <row r="76" ht="12.75" customHeight="1">
      <c r="A76" s="3"/>
      <c r="B76" s="98"/>
      <c r="C76" s="3"/>
      <c r="D76" s="3"/>
      <c r="E76" s="3"/>
      <c r="F76" s="3"/>
      <c r="G76" s="3"/>
      <c r="H76" s="3"/>
      <c r="I76" s="3"/>
      <c r="J76" s="3"/>
      <c r="K76" s="3"/>
      <c r="L76" s="3"/>
      <c r="M76" s="3"/>
      <c r="N76" s="3"/>
      <c r="O76" s="3"/>
      <c r="P76" s="3"/>
      <c r="Q76" s="3"/>
      <c r="R76" s="3"/>
      <c r="S76" s="3"/>
      <c r="T76" s="3"/>
      <c r="U76" s="3"/>
      <c r="V76" s="3"/>
      <c r="W76" s="3"/>
      <c r="X76" s="3"/>
      <c r="Y76" s="3"/>
      <c r="Z76" s="3"/>
    </row>
    <row r="77" ht="12.75" customHeight="1">
      <c r="A77" s="3"/>
      <c r="B77" s="98"/>
      <c r="C77" s="3"/>
      <c r="D77" s="3"/>
      <c r="E77" s="3"/>
      <c r="F77" s="3"/>
      <c r="G77" s="3"/>
      <c r="H77" s="3"/>
      <c r="I77" s="3"/>
      <c r="J77" s="3"/>
      <c r="K77" s="3"/>
      <c r="L77" s="3"/>
      <c r="M77" s="3"/>
      <c r="N77" s="3"/>
      <c r="O77" s="3"/>
      <c r="P77" s="3"/>
      <c r="Q77" s="3"/>
      <c r="R77" s="3"/>
      <c r="S77" s="3"/>
      <c r="T77" s="3"/>
      <c r="U77" s="3"/>
      <c r="V77" s="3"/>
      <c r="W77" s="3"/>
      <c r="X77" s="3"/>
      <c r="Y77" s="3"/>
      <c r="Z77" s="3"/>
    </row>
    <row r="78" ht="12.75" customHeight="1">
      <c r="A78" s="3"/>
      <c r="B78" s="98"/>
      <c r="C78" s="3"/>
      <c r="D78" s="3"/>
      <c r="E78" s="3"/>
      <c r="F78" s="3"/>
      <c r="G78" s="3"/>
      <c r="H78" s="3"/>
      <c r="I78" s="3"/>
      <c r="J78" s="3"/>
      <c r="K78" s="3"/>
      <c r="L78" s="3"/>
      <c r="M78" s="3"/>
      <c r="N78" s="3"/>
      <c r="O78" s="3"/>
      <c r="P78" s="3"/>
      <c r="Q78" s="3"/>
      <c r="R78" s="3"/>
      <c r="S78" s="3"/>
      <c r="T78" s="3"/>
      <c r="U78" s="3"/>
      <c r="V78" s="3"/>
      <c r="W78" s="3"/>
      <c r="X78" s="3"/>
      <c r="Y78" s="3"/>
      <c r="Z78" s="3"/>
    </row>
    <row r="79" ht="12.75" customHeight="1">
      <c r="A79" s="3"/>
      <c r="B79" s="98"/>
      <c r="C79" s="3"/>
      <c r="D79" s="3"/>
      <c r="E79" s="3"/>
      <c r="F79" s="3"/>
      <c r="G79" s="3"/>
      <c r="H79" s="3"/>
      <c r="I79" s="3"/>
      <c r="J79" s="3"/>
      <c r="K79" s="3"/>
      <c r="L79" s="3"/>
      <c r="M79" s="3"/>
      <c r="N79" s="3"/>
      <c r="O79" s="3"/>
      <c r="P79" s="3"/>
      <c r="Q79" s="3"/>
      <c r="R79" s="3"/>
      <c r="S79" s="3"/>
      <c r="T79" s="3"/>
      <c r="U79" s="3"/>
      <c r="V79" s="3"/>
      <c r="W79" s="3"/>
      <c r="X79" s="3"/>
      <c r="Y79" s="3"/>
      <c r="Z79" s="3"/>
    </row>
    <row r="80" ht="12.75" customHeight="1">
      <c r="A80" s="3"/>
      <c r="B80" s="98"/>
      <c r="C80" s="3"/>
      <c r="D80" s="3"/>
      <c r="E80" s="3"/>
      <c r="F80" s="3"/>
      <c r="G80" s="3"/>
      <c r="H80" s="3"/>
      <c r="I80" s="3"/>
      <c r="J80" s="3"/>
      <c r="K80" s="3"/>
      <c r="L80" s="3"/>
      <c r="M80" s="3"/>
      <c r="N80" s="3"/>
      <c r="O80" s="3"/>
      <c r="P80" s="3"/>
      <c r="Q80" s="3"/>
      <c r="R80" s="3"/>
      <c r="S80" s="3"/>
      <c r="T80" s="3"/>
      <c r="U80" s="3"/>
      <c r="V80" s="3"/>
      <c r="W80" s="3"/>
      <c r="X80" s="3"/>
      <c r="Y80" s="3"/>
      <c r="Z80" s="3"/>
    </row>
    <row r="81" ht="12.75" customHeight="1">
      <c r="A81" s="3"/>
      <c r="B81" s="98"/>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98"/>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98"/>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98"/>
      <c r="C84" s="3"/>
      <c r="D84" s="3"/>
      <c r="E84" s="3"/>
      <c r="F84" s="3"/>
      <c r="G84" s="3"/>
      <c r="H84" s="3"/>
      <c r="I84" s="3"/>
      <c r="J84" s="3"/>
      <c r="K84" s="3"/>
      <c r="L84" s="3"/>
      <c r="M84" s="3"/>
      <c r="N84" s="3"/>
      <c r="O84" s="3"/>
      <c r="P84" s="3"/>
      <c r="Q84" s="3"/>
      <c r="R84" s="3"/>
      <c r="S84" s="3"/>
      <c r="T84" s="3"/>
      <c r="U84" s="3"/>
      <c r="V84" s="3"/>
      <c r="W84" s="3"/>
      <c r="X84" s="3"/>
      <c r="Y84" s="3"/>
      <c r="Z84" s="3"/>
    </row>
    <row r="85" ht="12.75" customHeight="1">
      <c r="A85" s="3"/>
      <c r="B85" s="98"/>
      <c r="C85" s="3"/>
      <c r="D85" s="3"/>
      <c r="E85" s="3"/>
      <c r="F85" s="3"/>
      <c r="G85" s="3"/>
      <c r="H85" s="3"/>
      <c r="I85" s="3"/>
      <c r="J85" s="3"/>
      <c r="K85" s="3"/>
      <c r="L85" s="3"/>
      <c r="M85" s="3"/>
      <c r="N85" s="3"/>
      <c r="O85" s="3"/>
      <c r="P85" s="3"/>
      <c r="Q85" s="3"/>
      <c r="R85" s="3"/>
      <c r="S85" s="3"/>
      <c r="T85" s="3"/>
      <c r="U85" s="3"/>
      <c r="V85" s="3"/>
      <c r="W85" s="3"/>
      <c r="X85" s="3"/>
      <c r="Y85" s="3"/>
      <c r="Z85" s="3"/>
    </row>
    <row r="86" ht="12.75" customHeight="1">
      <c r="A86" s="3"/>
      <c r="B86" s="98"/>
      <c r="C86" s="3"/>
      <c r="D86" s="3"/>
      <c r="E86" s="3"/>
      <c r="F86" s="3"/>
      <c r="G86" s="3"/>
      <c r="H86" s="3"/>
      <c r="I86" s="3"/>
      <c r="J86" s="3"/>
      <c r="K86" s="3"/>
      <c r="L86" s="3"/>
      <c r="M86" s="3"/>
      <c r="N86" s="3"/>
      <c r="O86" s="3"/>
      <c r="P86" s="3"/>
      <c r="Q86" s="3"/>
      <c r="R86" s="3"/>
      <c r="S86" s="3"/>
      <c r="T86" s="3"/>
      <c r="U86" s="3"/>
      <c r="V86" s="3"/>
      <c r="W86" s="3"/>
      <c r="X86" s="3"/>
      <c r="Y86" s="3"/>
      <c r="Z86" s="3"/>
    </row>
    <row r="87" ht="12.75" customHeight="1">
      <c r="A87" s="3"/>
      <c r="B87" s="98"/>
      <c r="C87" s="3"/>
      <c r="D87" s="3"/>
      <c r="E87" s="3"/>
      <c r="F87" s="3"/>
      <c r="G87" s="3"/>
      <c r="H87" s="3"/>
      <c r="I87" s="3"/>
      <c r="J87" s="3"/>
      <c r="K87" s="3"/>
      <c r="L87" s="3"/>
      <c r="M87" s="3"/>
      <c r="N87" s="3"/>
      <c r="O87" s="3"/>
      <c r="P87" s="3"/>
      <c r="Q87" s="3"/>
      <c r="R87" s="3"/>
      <c r="S87" s="3"/>
      <c r="T87" s="3"/>
      <c r="U87" s="3"/>
      <c r="V87" s="3"/>
      <c r="W87" s="3"/>
      <c r="X87" s="3"/>
      <c r="Y87" s="3"/>
      <c r="Z87" s="3"/>
    </row>
    <row r="88" ht="12.75" customHeight="1">
      <c r="A88" s="3"/>
      <c r="B88" s="98"/>
      <c r="C88" s="3"/>
      <c r="D88" s="3"/>
      <c r="E88" s="3"/>
      <c r="F88" s="3"/>
      <c r="G88" s="3"/>
      <c r="H88" s="3"/>
      <c r="I88" s="3"/>
      <c r="J88" s="3"/>
      <c r="K88" s="3"/>
      <c r="L88" s="3"/>
      <c r="M88" s="3"/>
      <c r="N88" s="3"/>
      <c r="O88" s="3"/>
      <c r="P88" s="3"/>
      <c r="Q88" s="3"/>
      <c r="R88" s="3"/>
      <c r="S88" s="3"/>
      <c r="T88" s="3"/>
      <c r="U88" s="3"/>
      <c r="V88" s="3"/>
      <c r="W88" s="3"/>
      <c r="X88" s="3"/>
      <c r="Y88" s="3"/>
      <c r="Z88" s="3"/>
    </row>
    <row r="89" ht="12.75" customHeight="1">
      <c r="A89" s="3"/>
      <c r="B89" s="98"/>
      <c r="C89" s="3"/>
      <c r="D89" s="3"/>
      <c r="E89" s="3"/>
      <c r="F89" s="3"/>
      <c r="G89" s="3"/>
      <c r="H89" s="3"/>
      <c r="I89" s="3"/>
      <c r="J89" s="3"/>
      <c r="K89" s="3"/>
      <c r="L89" s="3"/>
      <c r="M89" s="3"/>
      <c r="N89" s="3"/>
      <c r="O89" s="3"/>
      <c r="P89" s="3"/>
      <c r="Q89" s="3"/>
      <c r="R89" s="3"/>
      <c r="S89" s="3"/>
      <c r="T89" s="3"/>
      <c r="U89" s="3"/>
      <c r="V89" s="3"/>
      <c r="W89" s="3"/>
      <c r="X89" s="3"/>
      <c r="Y89" s="3"/>
      <c r="Z89" s="3"/>
    </row>
    <row r="90" ht="12.75" customHeight="1">
      <c r="A90" s="3"/>
      <c r="B90" s="98"/>
      <c r="C90" s="3"/>
      <c r="D90" s="3"/>
      <c r="E90" s="3"/>
      <c r="F90" s="3"/>
      <c r="G90" s="3"/>
      <c r="H90" s="3"/>
      <c r="I90" s="3"/>
      <c r="J90" s="3"/>
      <c r="K90" s="3"/>
      <c r="L90" s="3"/>
      <c r="M90" s="3"/>
      <c r="N90" s="3"/>
      <c r="O90" s="3"/>
      <c r="P90" s="3"/>
      <c r="Q90" s="3"/>
      <c r="R90" s="3"/>
      <c r="S90" s="3"/>
      <c r="T90" s="3"/>
      <c r="U90" s="3"/>
      <c r="V90" s="3"/>
      <c r="W90" s="3"/>
      <c r="X90" s="3"/>
      <c r="Y90" s="3"/>
      <c r="Z90" s="3"/>
    </row>
    <row r="91" ht="12.75" customHeight="1">
      <c r="A91" s="3"/>
      <c r="B91" s="98"/>
      <c r="C91" s="3"/>
      <c r="D91" s="3"/>
      <c r="E91" s="3"/>
      <c r="F91" s="3"/>
      <c r="G91" s="3"/>
      <c r="H91" s="3"/>
      <c r="I91" s="3"/>
      <c r="J91" s="3"/>
      <c r="K91" s="3"/>
      <c r="L91" s="3"/>
      <c r="M91" s="3"/>
      <c r="N91" s="3"/>
      <c r="O91" s="3"/>
      <c r="P91" s="3"/>
      <c r="Q91" s="3"/>
      <c r="R91" s="3"/>
      <c r="S91" s="3"/>
      <c r="T91" s="3"/>
      <c r="U91" s="3"/>
      <c r="V91" s="3"/>
      <c r="W91" s="3"/>
      <c r="X91" s="3"/>
      <c r="Y91" s="3"/>
      <c r="Z91" s="3"/>
    </row>
    <row r="92" ht="12.75" customHeight="1">
      <c r="A92" s="3"/>
      <c r="B92" s="98"/>
      <c r="C92" s="3"/>
      <c r="D92" s="3"/>
      <c r="E92" s="3"/>
      <c r="F92" s="3"/>
      <c r="G92" s="3"/>
      <c r="H92" s="3"/>
      <c r="I92" s="3"/>
      <c r="J92" s="3"/>
      <c r="K92" s="3"/>
      <c r="L92" s="3"/>
      <c r="M92" s="3"/>
      <c r="N92" s="3"/>
      <c r="O92" s="3"/>
      <c r="P92" s="3"/>
      <c r="Q92" s="3"/>
      <c r="R92" s="3"/>
      <c r="S92" s="3"/>
      <c r="T92" s="3"/>
      <c r="U92" s="3"/>
      <c r="V92" s="3"/>
      <c r="W92" s="3"/>
      <c r="X92" s="3"/>
      <c r="Y92" s="3"/>
      <c r="Z92" s="3"/>
    </row>
    <row r="93" ht="12.75" customHeight="1">
      <c r="A93" s="3"/>
      <c r="B93" s="98"/>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98"/>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98"/>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98"/>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98"/>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98"/>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98"/>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98"/>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98"/>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98"/>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98"/>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98"/>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98"/>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98"/>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98"/>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98"/>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98"/>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98"/>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98"/>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98"/>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98"/>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98"/>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98"/>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98"/>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98"/>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98"/>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98"/>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98"/>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98"/>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98"/>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98"/>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98"/>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98"/>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98"/>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98"/>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98"/>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98"/>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98"/>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98"/>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98"/>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98"/>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98"/>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98"/>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98"/>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98"/>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98"/>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98"/>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98"/>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98"/>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98"/>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98"/>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98"/>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98"/>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98"/>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98"/>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98"/>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98"/>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98"/>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98"/>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98"/>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98"/>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98"/>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98"/>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98"/>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98"/>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98"/>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98"/>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98"/>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98"/>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98"/>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98"/>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98"/>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98"/>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
      <c r="B166" s="98"/>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3"/>
      <c r="B167" s="98"/>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3"/>
      <c r="B168" s="98"/>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3"/>
      <c r="B169" s="98"/>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3"/>
      <c r="B170" s="98"/>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3"/>
      <c r="B171" s="98"/>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3"/>
      <c r="B172" s="98"/>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3"/>
      <c r="B173" s="98"/>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3"/>
      <c r="B174" s="98"/>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3"/>
      <c r="B175" s="98"/>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3"/>
      <c r="B176" s="98"/>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3"/>
      <c r="B177" s="98"/>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3"/>
      <c r="B178" s="98"/>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3"/>
      <c r="B179" s="98"/>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3"/>
      <c r="B180" s="98"/>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3"/>
      <c r="B181" s="98"/>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3"/>
      <c r="B182" s="98"/>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3"/>
      <c r="B183" s="98"/>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3"/>
      <c r="B184" s="98"/>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3"/>
      <c r="B185" s="98"/>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3"/>
      <c r="B186" s="98"/>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3"/>
      <c r="B187" s="98"/>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3"/>
      <c r="B188" s="98"/>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3"/>
      <c r="B189" s="98"/>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3"/>
      <c r="B190" s="98"/>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3"/>
      <c r="B191" s="98"/>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3"/>
      <c r="B192" s="98"/>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3"/>
      <c r="B193" s="98"/>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3"/>
      <c r="B194" s="98"/>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3"/>
      <c r="B195" s="98"/>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3"/>
      <c r="B196" s="98"/>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3"/>
      <c r="B197" s="98"/>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3"/>
      <c r="B198" s="98"/>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3"/>
      <c r="B199" s="98"/>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3"/>
      <c r="B200" s="98"/>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3"/>
      <c r="B201" s="98"/>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3"/>
      <c r="B202" s="98"/>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3"/>
      <c r="B203" s="98"/>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3"/>
      <c r="B204" s="98"/>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3"/>
      <c r="B205" s="98"/>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3"/>
      <c r="B206" s="98"/>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3"/>
      <c r="B207" s="98"/>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3"/>
      <c r="B208" s="98"/>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3"/>
      <c r="B209" s="98"/>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3"/>
      <c r="B210" s="98"/>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3"/>
      <c r="B211" s="98"/>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3"/>
      <c r="B212" s="98"/>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3"/>
      <c r="B213" s="98"/>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3"/>
      <c r="B214" s="98"/>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3"/>
      <c r="B215" s="98"/>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3"/>
      <c r="B216" s="98"/>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3"/>
      <c r="B217" s="98"/>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3"/>
      <c r="B218" s="98"/>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3"/>
      <c r="B219" s="98"/>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3"/>
      <c r="B220" s="98"/>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3"/>
      <c r="B221" s="98"/>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3"/>
      <c r="B222" s="98"/>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75" customHeight="1">
      <c r="A223" s="3"/>
      <c r="B223" s="98"/>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75" customHeight="1">
      <c r="A224" s="3"/>
      <c r="B224" s="98"/>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75" customHeight="1">
      <c r="A225" s="3"/>
      <c r="B225" s="98"/>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75" customHeight="1">
      <c r="A226" s="3"/>
      <c r="B226" s="98"/>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75" customHeight="1">
      <c r="A227" s="3"/>
      <c r="B227" s="98"/>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75" customHeight="1">
      <c r="A228" s="3"/>
      <c r="B228" s="98"/>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75" customHeight="1">
      <c r="A229" s="3"/>
      <c r="B229" s="98"/>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75" customHeight="1">
      <c r="A230" s="3"/>
      <c r="B230" s="98"/>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3"/>
      <c r="B231" s="98"/>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3"/>
      <c r="B232" s="98"/>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3"/>
      <c r="B233" s="98"/>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3"/>
      <c r="B234" s="98"/>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3"/>
      <c r="B235" s="98"/>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3"/>
      <c r="B236" s="98"/>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3"/>
      <c r="B237" s="98"/>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3"/>
      <c r="B238" s="98"/>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3"/>
      <c r="B239" s="98"/>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3"/>
      <c r="B240" s="98"/>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3"/>
      <c r="B241" s="98"/>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3"/>
      <c r="B242" s="98"/>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3"/>
      <c r="B243" s="98"/>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3"/>
      <c r="B244" s="98"/>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3"/>
      <c r="B245" s="98"/>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3"/>
      <c r="B246" s="98"/>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3"/>
      <c r="B247" s="98"/>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3"/>
      <c r="B248" s="98"/>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3"/>
      <c r="B249" s="98"/>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3"/>
      <c r="B250" s="98"/>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3"/>
      <c r="B251" s="98"/>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3"/>
      <c r="B252" s="98"/>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3"/>
      <c r="B253" s="98"/>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3"/>
      <c r="B254" s="98"/>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3"/>
      <c r="B255" s="98"/>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3"/>
      <c r="B256" s="98"/>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3"/>
      <c r="B257" s="98"/>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3"/>
      <c r="B258" s="98"/>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3"/>
      <c r="B259" s="98"/>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3"/>
      <c r="B260" s="98"/>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3"/>
      <c r="B261" s="98"/>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3"/>
      <c r="B262" s="98"/>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3"/>
      <c r="B263" s="98"/>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3"/>
      <c r="B264" s="98"/>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3"/>
      <c r="B265" s="98"/>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3"/>
      <c r="B266" s="98"/>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3"/>
      <c r="B267" s="98"/>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3"/>
      <c r="B268" s="98"/>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3"/>
      <c r="B269" s="98"/>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3"/>
      <c r="B270" s="98"/>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3"/>
      <c r="B271" s="98"/>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3"/>
      <c r="B272" s="98"/>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3"/>
      <c r="B273" s="98"/>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3"/>
      <c r="B274" s="98"/>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3"/>
      <c r="B275" s="98"/>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3"/>
      <c r="B276" s="98"/>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3"/>
      <c r="B277" s="98"/>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3"/>
      <c r="B278" s="98"/>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3"/>
      <c r="B279" s="98"/>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3"/>
      <c r="B280" s="98"/>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3"/>
      <c r="B281" s="98"/>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3"/>
      <c r="B282" s="98"/>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3"/>
      <c r="B283" s="98"/>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3"/>
      <c r="B284" s="98"/>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3"/>
      <c r="B285" s="98"/>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3"/>
      <c r="B286" s="98"/>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3"/>
      <c r="B287" s="98"/>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3"/>
      <c r="B288" s="98"/>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3"/>
      <c r="B289" s="98"/>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3"/>
      <c r="B290" s="98"/>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3"/>
      <c r="B291" s="98"/>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3"/>
      <c r="B292" s="98"/>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3"/>
      <c r="B293" s="98"/>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3"/>
      <c r="B294" s="98"/>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3"/>
      <c r="B295" s="98"/>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3"/>
      <c r="B296" s="98"/>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3"/>
      <c r="B297" s="98"/>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3"/>
      <c r="B298" s="98"/>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3"/>
      <c r="B299" s="98"/>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3"/>
      <c r="B300" s="98"/>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3"/>
      <c r="B301" s="98"/>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3"/>
      <c r="B302" s="98"/>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3"/>
      <c r="B303" s="98"/>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3"/>
      <c r="B304" s="98"/>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3"/>
      <c r="B305" s="98"/>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3"/>
      <c r="B306" s="98"/>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3"/>
      <c r="B307" s="98"/>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3"/>
      <c r="B308" s="98"/>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3"/>
      <c r="B309" s="98"/>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3"/>
      <c r="B310" s="98"/>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3"/>
      <c r="B311" s="98"/>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3"/>
      <c r="B312" s="98"/>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3"/>
      <c r="B313" s="98"/>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3"/>
      <c r="B314" s="98"/>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3"/>
      <c r="B315" s="98"/>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3"/>
      <c r="B316" s="98"/>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3"/>
      <c r="B317" s="98"/>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3"/>
      <c r="B318" s="98"/>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3"/>
      <c r="B319" s="98"/>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3"/>
      <c r="B320" s="98"/>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3"/>
      <c r="B321" s="98"/>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3"/>
      <c r="B322" s="98"/>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3"/>
      <c r="B323" s="98"/>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3"/>
      <c r="B324" s="98"/>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3"/>
      <c r="B325" s="98"/>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3"/>
      <c r="B326" s="98"/>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3"/>
      <c r="B327" s="98"/>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3"/>
      <c r="B328" s="98"/>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3"/>
      <c r="B329" s="98"/>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3"/>
      <c r="B330" s="98"/>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3"/>
      <c r="B331" s="98"/>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3"/>
      <c r="B332" s="98"/>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3"/>
      <c r="B333" s="98"/>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3"/>
      <c r="B334" s="98"/>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3"/>
      <c r="B335" s="98"/>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3"/>
      <c r="B336" s="98"/>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3"/>
      <c r="B337" s="98"/>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3"/>
      <c r="B338" s="98"/>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3"/>
      <c r="B339" s="98"/>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3"/>
      <c r="B340" s="98"/>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3"/>
      <c r="B341" s="98"/>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3"/>
      <c r="B342" s="98"/>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3"/>
      <c r="B343" s="98"/>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3"/>
      <c r="B344" s="98"/>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3"/>
      <c r="B345" s="98"/>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3"/>
      <c r="B346" s="98"/>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3"/>
      <c r="B347" s="98"/>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3"/>
      <c r="B348" s="98"/>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3"/>
      <c r="B349" s="98"/>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3"/>
      <c r="B350" s="98"/>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3"/>
      <c r="B351" s="98"/>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3"/>
      <c r="B352" s="98"/>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3"/>
      <c r="B353" s="98"/>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3"/>
      <c r="B354" s="98"/>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3"/>
      <c r="B355" s="98"/>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3"/>
      <c r="B356" s="98"/>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3"/>
      <c r="B357" s="98"/>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3"/>
      <c r="B358" s="98"/>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3"/>
      <c r="B359" s="98"/>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3"/>
      <c r="B360" s="98"/>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3"/>
      <c r="B361" s="98"/>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3"/>
      <c r="B362" s="98"/>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3"/>
      <c r="B363" s="98"/>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3"/>
      <c r="B364" s="98"/>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3"/>
      <c r="B365" s="98"/>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3"/>
      <c r="B366" s="98"/>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3"/>
      <c r="B367" s="98"/>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3"/>
      <c r="B368" s="98"/>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3"/>
      <c r="B369" s="98"/>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3"/>
      <c r="B370" s="98"/>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3"/>
      <c r="B371" s="98"/>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3"/>
      <c r="B372" s="98"/>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3"/>
      <c r="B373" s="98"/>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3"/>
      <c r="B374" s="98"/>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3"/>
      <c r="B375" s="98"/>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3"/>
      <c r="B376" s="98"/>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3"/>
      <c r="B377" s="98"/>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3"/>
      <c r="B378" s="98"/>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3"/>
      <c r="B379" s="98"/>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3"/>
      <c r="B380" s="98"/>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3"/>
      <c r="B381" s="98"/>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3"/>
      <c r="B382" s="98"/>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3"/>
      <c r="B383" s="98"/>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3"/>
      <c r="B384" s="98"/>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3"/>
      <c r="B385" s="98"/>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3"/>
      <c r="B386" s="98"/>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3"/>
      <c r="B387" s="98"/>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3"/>
      <c r="B388" s="98"/>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3"/>
      <c r="B389" s="98"/>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3"/>
      <c r="B390" s="98"/>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3"/>
      <c r="B391" s="98"/>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3"/>
      <c r="B392" s="98"/>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3"/>
      <c r="B393" s="98"/>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3"/>
      <c r="B394" s="98"/>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3"/>
      <c r="B395" s="98"/>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3"/>
      <c r="B396" s="98"/>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3"/>
      <c r="B397" s="98"/>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3"/>
      <c r="B398" s="98"/>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3"/>
      <c r="B399" s="98"/>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3"/>
      <c r="B400" s="98"/>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3"/>
      <c r="B401" s="98"/>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3"/>
      <c r="B402" s="98"/>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3"/>
      <c r="B403" s="98"/>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3"/>
      <c r="B404" s="98"/>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3"/>
      <c r="B405" s="98"/>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3"/>
      <c r="B406" s="98"/>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3"/>
      <c r="B407" s="98"/>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3"/>
      <c r="B408" s="98"/>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3"/>
      <c r="B409" s="98"/>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3"/>
      <c r="B410" s="98"/>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3"/>
      <c r="B411" s="98"/>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3"/>
      <c r="B412" s="98"/>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3"/>
      <c r="B413" s="98"/>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3"/>
      <c r="B414" s="98"/>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3"/>
      <c r="B415" s="98"/>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3"/>
      <c r="B416" s="98"/>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3"/>
      <c r="B417" s="98"/>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3"/>
      <c r="B418" s="98"/>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3"/>
      <c r="B419" s="98"/>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3"/>
      <c r="B420" s="98"/>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3"/>
      <c r="B421" s="98"/>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3"/>
      <c r="B422" s="98"/>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3"/>
      <c r="B423" s="98"/>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3"/>
      <c r="B424" s="98"/>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3"/>
      <c r="B425" s="98"/>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3"/>
      <c r="B426" s="98"/>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3"/>
      <c r="B427" s="98"/>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3"/>
      <c r="B428" s="98"/>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3"/>
      <c r="B429" s="98"/>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3"/>
      <c r="B430" s="98"/>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3"/>
      <c r="B431" s="98"/>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3"/>
      <c r="B432" s="98"/>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3"/>
      <c r="B433" s="98"/>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3"/>
      <c r="B434" s="98"/>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3"/>
      <c r="B435" s="98"/>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3"/>
      <c r="B436" s="98"/>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3"/>
      <c r="B437" s="98"/>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3"/>
      <c r="B438" s="98"/>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3"/>
      <c r="B439" s="98"/>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3"/>
      <c r="B440" s="98"/>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3"/>
      <c r="B441" s="98"/>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3"/>
      <c r="B442" s="98"/>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3"/>
      <c r="B443" s="98"/>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3"/>
      <c r="B444" s="98"/>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3"/>
      <c r="B445" s="98"/>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3"/>
      <c r="B446" s="98"/>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3"/>
      <c r="B447" s="98"/>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3"/>
      <c r="B448" s="98"/>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3"/>
      <c r="B449" s="98"/>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3"/>
      <c r="B450" s="98"/>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3"/>
      <c r="B451" s="98"/>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3"/>
      <c r="B452" s="98"/>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3"/>
      <c r="B453" s="98"/>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3"/>
      <c r="B454" s="98"/>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3"/>
      <c r="B455" s="98"/>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3"/>
      <c r="B456" s="98"/>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3"/>
      <c r="B457" s="98"/>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3"/>
      <c r="B458" s="98"/>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3"/>
      <c r="B459" s="98"/>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3"/>
      <c r="B460" s="98"/>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3"/>
      <c r="B461" s="98"/>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3"/>
      <c r="B462" s="98"/>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3"/>
      <c r="B463" s="98"/>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3"/>
      <c r="B464" s="98"/>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3"/>
      <c r="B465" s="98"/>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3"/>
      <c r="B466" s="98"/>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3"/>
      <c r="B467" s="98"/>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3"/>
      <c r="B468" s="98"/>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3"/>
      <c r="B469" s="98"/>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3"/>
      <c r="B470" s="98"/>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3"/>
      <c r="B471" s="98"/>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3"/>
      <c r="B472" s="98"/>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3"/>
      <c r="B473" s="98"/>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3"/>
      <c r="B474" s="98"/>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3"/>
      <c r="B475" s="98"/>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3"/>
      <c r="B476" s="98"/>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3"/>
      <c r="B477" s="98"/>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3"/>
      <c r="B478" s="98"/>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3"/>
      <c r="B479" s="98"/>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3"/>
      <c r="B480" s="98"/>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3"/>
      <c r="B481" s="98"/>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3"/>
      <c r="B482" s="98"/>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3"/>
      <c r="B483" s="98"/>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3"/>
      <c r="B484" s="98"/>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3"/>
      <c r="B485" s="98"/>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3"/>
      <c r="B486" s="98"/>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3"/>
      <c r="B487" s="98"/>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3"/>
      <c r="B488" s="98"/>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3"/>
      <c r="B489" s="98"/>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3"/>
      <c r="B490" s="98"/>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3"/>
      <c r="B491" s="98"/>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3"/>
      <c r="B492" s="98"/>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3"/>
      <c r="B493" s="98"/>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3"/>
      <c r="B494" s="98"/>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3"/>
      <c r="B495" s="98"/>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3"/>
      <c r="B496" s="98"/>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3"/>
      <c r="B497" s="98"/>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3"/>
      <c r="B498" s="98"/>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3"/>
      <c r="B499" s="98"/>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3"/>
      <c r="B500" s="98"/>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3"/>
      <c r="B501" s="98"/>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3"/>
      <c r="B502" s="98"/>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3"/>
      <c r="B503" s="98"/>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3"/>
      <c r="B504" s="98"/>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3"/>
      <c r="B505" s="98"/>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3"/>
      <c r="B506" s="98"/>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3"/>
      <c r="B507" s="98"/>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3"/>
      <c r="B508" s="98"/>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3"/>
      <c r="B509" s="98"/>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3"/>
      <c r="B510" s="98"/>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3"/>
      <c r="B511" s="98"/>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3"/>
      <c r="B512" s="98"/>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3"/>
      <c r="B513" s="98"/>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3"/>
      <c r="B514" s="98"/>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3"/>
      <c r="B515" s="98"/>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3"/>
      <c r="B516" s="98"/>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3"/>
      <c r="B517" s="98"/>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3"/>
      <c r="B518" s="98"/>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3"/>
      <c r="B519" s="98"/>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3"/>
      <c r="B520" s="98"/>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3"/>
      <c r="B521" s="98"/>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3"/>
      <c r="B522" s="98"/>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3"/>
      <c r="B523" s="98"/>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3"/>
      <c r="B524" s="98"/>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3"/>
      <c r="B525" s="98"/>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3"/>
      <c r="B526" s="98"/>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3"/>
      <c r="B527" s="98"/>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3"/>
      <c r="B528" s="98"/>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3"/>
      <c r="B529" s="98"/>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3"/>
      <c r="B530" s="98"/>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3"/>
      <c r="B531" s="98"/>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3"/>
      <c r="B532" s="98"/>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3"/>
      <c r="B533" s="98"/>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3"/>
      <c r="B534" s="98"/>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3"/>
      <c r="B535" s="98"/>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3"/>
      <c r="B536" s="98"/>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3"/>
      <c r="B537" s="98"/>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3"/>
      <c r="B538" s="98"/>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3"/>
      <c r="B539" s="98"/>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3"/>
      <c r="B540" s="98"/>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3"/>
      <c r="B541" s="98"/>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3"/>
      <c r="B542" s="98"/>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3"/>
      <c r="B543" s="98"/>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3"/>
      <c r="B544" s="98"/>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3"/>
      <c r="B545" s="98"/>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3"/>
      <c r="B546" s="98"/>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3"/>
      <c r="B547" s="98"/>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3"/>
      <c r="B548" s="98"/>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3"/>
      <c r="B549" s="98"/>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3"/>
      <c r="B550" s="98"/>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3"/>
      <c r="B551" s="98"/>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3"/>
      <c r="B552" s="98"/>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3"/>
      <c r="B553" s="98"/>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3"/>
      <c r="B554" s="98"/>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3"/>
      <c r="B555" s="98"/>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3"/>
      <c r="B556" s="98"/>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3"/>
      <c r="B557" s="98"/>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3"/>
      <c r="B558" s="98"/>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3"/>
      <c r="B559" s="98"/>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3"/>
      <c r="B560" s="98"/>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3"/>
      <c r="B561" s="98"/>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3"/>
      <c r="B562" s="98"/>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3"/>
      <c r="B563" s="98"/>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3"/>
      <c r="B564" s="98"/>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3"/>
      <c r="B565" s="98"/>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3"/>
      <c r="B566" s="98"/>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3"/>
      <c r="B567" s="98"/>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3"/>
      <c r="B568" s="98"/>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3"/>
      <c r="B569" s="98"/>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3"/>
      <c r="B570" s="98"/>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3"/>
      <c r="B571" s="98"/>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3"/>
      <c r="B572" s="98"/>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3"/>
      <c r="B573" s="98"/>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3"/>
      <c r="B574" s="98"/>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3"/>
      <c r="B575" s="98"/>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3"/>
      <c r="B576" s="98"/>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3"/>
      <c r="B577" s="98"/>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3"/>
      <c r="B578" s="98"/>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3"/>
      <c r="B579" s="98"/>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3"/>
      <c r="B580" s="98"/>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3"/>
      <c r="B581" s="98"/>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3"/>
      <c r="B582" s="98"/>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3"/>
      <c r="B583" s="98"/>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3"/>
      <c r="B584" s="98"/>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3"/>
      <c r="B585" s="98"/>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3"/>
      <c r="B586" s="98"/>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3"/>
      <c r="B587" s="98"/>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3"/>
      <c r="B588" s="98"/>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3"/>
      <c r="B589" s="98"/>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3"/>
      <c r="B590" s="98"/>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3"/>
      <c r="B591" s="98"/>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3"/>
      <c r="B592" s="98"/>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3"/>
      <c r="B593" s="98"/>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3"/>
      <c r="B594" s="98"/>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3"/>
      <c r="B595" s="98"/>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3"/>
      <c r="B596" s="98"/>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3"/>
      <c r="B597" s="98"/>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3"/>
      <c r="B598" s="98"/>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3"/>
      <c r="B599" s="98"/>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3"/>
      <c r="B600" s="98"/>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3"/>
      <c r="B601" s="98"/>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3"/>
      <c r="B602" s="98"/>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3"/>
      <c r="B603" s="98"/>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3"/>
      <c r="B604" s="98"/>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3"/>
      <c r="B605" s="98"/>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3"/>
      <c r="B606" s="98"/>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3"/>
      <c r="B607" s="98"/>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3"/>
      <c r="B608" s="98"/>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3"/>
      <c r="B609" s="98"/>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3"/>
      <c r="B610" s="98"/>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3"/>
      <c r="B611" s="98"/>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3"/>
      <c r="B612" s="98"/>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3"/>
      <c r="B613" s="98"/>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3"/>
      <c r="B614" s="98"/>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3"/>
      <c r="B615" s="98"/>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3"/>
      <c r="B616" s="98"/>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3"/>
      <c r="B617" s="98"/>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3"/>
      <c r="B618" s="98"/>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3"/>
      <c r="B619" s="98"/>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3"/>
      <c r="B620" s="98"/>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3"/>
      <c r="B621" s="98"/>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3"/>
      <c r="B622" s="98"/>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3"/>
      <c r="B623" s="98"/>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3"/>
      <c r="B624" s="98"/>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3"/>
      <c r="B625" s="98"/>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3"/>
      <c r="B626" s="98"/>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3"/>
      <c r="B627" s="98"/>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3"/>
      <c r="B628" s="98"/>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3"/>
      <c r="B629" s="98"/>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3"/>
      <c r="B630" s="98"/>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3"/>
      <c r="B631" s="98"/>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3"/>
      <c r="B632" s="98"/>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3"/>
      <c r="B633" s="98"/>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3"/>
      <c r="B634" s="98"/>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3"/>
      <c r="B635" s="98"/>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3"/>
      <c r="B636" s="98"/>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3"/>
      <c r="B637" s="98"/>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3"/>
      <c r="B638" s="98"/>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3"/>
      <c r="B639" s="98"/>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3"/>
      <c r="B640" s="98"/>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3"/>
      <c r="B641" s="98"/>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3"/>
      <c r="B642" s="98"/>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3"/>
      <c r="B643" s="98"/>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3"/>
      <c r="B644" s="98"/>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3"/>
      <c r="B645" s="98"/>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3"/>
      <c r="B646" s="98"/>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3"/>
      <c r="B647" s="98"/>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3"/>
      <c r="B648" s="98"/>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3"/>
      <c r="B649" s="98"/>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3"/>
      <c r="B650" s="98"/>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3"/>
      <c r="B651" s="98"/>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3"/>
      <c r="B652" s="98"/>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3"/>
      <c r="B653" s="98"/>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3"/>
      <c r="B654" s="98"/>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3"/>
      <c r="B655" s="98"/>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3"/>
      <c r="B656" s="98"/>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3"/>
      <c r="B657" s="98"/>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3"/>
      <c r="B658" s="98"/>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3"/>
      <c r="B659" s="98"/>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3"/>
      <c r="B660" s="98"/>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3"/>
      <c r="B661" s="98"/>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3"/>
      <c r="B662" s="98"/>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3"/>
      <c r="B663" s="98"/>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3"/>
      <c r="B664" s="98"/>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3"/>
      <c r="B665" s="98"/>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3"/>
      <c r="B666" s="98"/>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3"/>
      <c r="B667" s="98"/>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3"/>
      <c r="B668" s="98"/>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3"/>
      <c r="B669" s="98"/>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3"/>
      <c r="B670" s="98"/>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3"/>
      <c r="B671" s="98"/>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3"/>
      <c r="B672" s="98"/>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3"/>
      <c r="B673" s="98"/>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3"/>
      <c r="B674" s="98"/>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3"/>
      <c r="B675" s="98"/>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3"/>
      <c r="B676" s="98"/>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3"/>
      <c r="B677" s="98"/>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3"/>
      <c r="B678" s="98"/>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3"/>
      <c r="B679" s="98"/>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3"/>
      <c r="B680" s="98"/>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3"/>
      <c r="B681" s="98"/>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3"/>
      <c r="B682" s="98"/>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3"/>
      <c r="B683" s="98"/>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3"/>
      <c r="B684" s="98"/>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3"/>
      <c r="B685" s="98"/>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3"/>
      <c r="B686" s="98"/>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3"/>
      <c r="B687" s="98"/>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3"/>
      <c r="B688" s="98"/>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3"/>
      <c r="B689" s="98"/>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3"/>
      <c r="B690" s="98"/>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3"/>
      <c r="B691" s="98"/>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3"/>
      <c r="B692" s="98"/>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3"/>
      <c r="B693" s="98"/>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3"/>
      <c r="B694" s="98"/>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3"/>
      <c r="B695" s="98"/>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3"/>
      <c r="B696" s="98"/>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3"/>
      <c r="B697" s="98"/>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3"/>
      <c r="B698" s="98"/>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3"/>
      <c r="B699" s="98"/>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3"/>
      <c r="B700" s="98"/>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3"/>
      <c r="B701" s="98"/>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3"/>
      <c r="B702" s="98"/>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3"/>
      <c r="B703" s="98"/>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3"/>
      <c r="B704" s="98"/>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3"/>
      <c r="B705" s="98"/>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3"/>
      <c r="B706" s="98"/>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3"/>
      <c r="B707" s="98"/>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3"/>
      <c r="B708" s="98"/>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3"/>
      <c r="B709" s="98"/>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3"/>
      <c r="B710" s="98"/>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3"/>
      <c r="B711" s="98"/>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3"/>
      <c r="B712" s="98"/>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3"/>
      <c r="B713" s="98"/>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3"/>
      <c r="B714" s="98"/>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3"/>
      <c r="B715" s="98"/>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3"/>
      <c r="B716" s="98"/>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3"/>
      <c r="B717" s="98"/>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3"/>
      <c r="B718" s="98"/>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3"/>
      <c r="B719" s="98"/>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3"/>
      <c r="B720" s="98"/>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3"/>
      <c r="B721" s="98"/>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3"/>
      <c r="B722" s="98"/>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3"/>
      <c r="B723" s="98"/>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3"/>
      <c r="B724" s="98"/>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3"/>
      <c r="B725" s="98"/>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3"/>
      <c r="B726" s="98"/>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3"/>
      <c r="B727" s="98"/>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3"/>
      <c r="B728" s="98"/>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3"/>
      <c r="B729" s="98"/>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3"/>
      <c r="B730" s="98"/>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3"/>
      <c r="B731" s="98"/>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3"/>
      <c r="B732" s="98"/>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3"/>
      <c r="B733" s="98"/>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3"/>
      <c r="B734" s="98"/>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3"/>
      <c r="B735" s="98"/>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3"/>
      <c r="B736" s="98"/>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3"/>
      <c r="B737" s="98"/>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3"/>
      <c r="B738" s="98"/>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3"/>
      <c r="B739" s="98"/>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3"/>
      <c r="B740" s="98"/>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3"/>
      <c r="B741" s="98"/>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3"/>
      <c r="B742" s="98"/>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3"/>
      <c r="B743" s="98"/>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3"/>
      <c r="B744" s="98"/>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3"/>
      <c r="B745" s="98"/>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3"/>
      <c r="B746" s="98"/>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3"/>
      <c r="B747" s="98"/>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3"/>
      <c r="B748" s="98"/>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3"/>
      <c r="B749" s="98"/>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3"/>
      <c r="B750" s="98"/>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3"/>
      <c r="B751" s="98"/>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3"/>
      <c r="B752" s="98"/>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3"/>
      <c r="B753" s="98"/>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3"/>
      <c r="B754" s="98"/>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3"/>
      <c r="B755" s="98"/>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3"/>
      <c r="B756" s="98"/>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3"/>
      <c r="B757" s="98"/>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3"/>
      <c r="B758" s="98"/>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3"/>
      <c r="B759" s="98"/>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3"/>
      <c r="B760" s="98"/>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3"/>
      <c r="B761" s="98"/>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3"/>
      <c r="B762" s="98"/>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3"/>
      <c r="B763" s="98"/>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3"/>
      <c r="B764" s="98"/>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3"/>
      <c r="B765" s="98"/>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3"/>
      <c r="B766" s="98"/>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3"/>
      <c r="B767" s="98"/>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3"/>
      <c r="B768" s="98"/>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3"/>
      <c r="B769" s="98"/>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3"/>
      <c r="B770" s="98"/>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3"/>
      <c r="B771" s="98"/>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3"/>
      <c r="B772" s="98"/>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3"/>
      <c r="B773" s="98"/>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3"/>
      <c r="B774" s="98"/>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3"/>
      <c r="B775" s="98"/>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3"/>
      <c r="B776" s="98"/>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3"/>
      <c r="B777" s="98"/>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3"/>
      <c r="B778" s="98"/>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3"/>
      <c r="B779" s="98"/>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3"/>
      <c r="B780" s="98"/>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3"/>
      <c r="B781" s="98"/>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3"/>
      <c r="B782" s="98"/>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3"/>
      <c r="B783" s="98"/>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3"/>
      <c r="B784" s="98"/>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3"/>
      <c r="B785" s="98"/>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3"/>
      <c r="B786" s="98"/>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3"/>
      <c r="B787" s="98"/>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3"/>
      <c r="B788" s="98"/>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3"/>
      <c r="B789" s="98"/>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3"/>
      <c r="B790" s="98"/>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3"/>
      <c r="B791" s="98"/>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3"/>
      <c r="B792" s="98"/>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3"/>
      <c r="B793" s="98"/>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3"/>
      <c r="B794" s="98"/>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3"/>
      <c r="B795" s="98"/>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3"/>
      <c r="B796" s="98"/>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3"/>
      <c r="B797" s="98"/>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3"/>
      <c r="B798" s="98"/>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3"/>
      <c r="B799" s="98"/>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3"/>
      <c r="B800" s="98"/>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3"/>
      <c r="B801" s="98"/>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3"/>
      <c r="B802" s="98"/>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3"/>
      <c r="B803" s="98"/>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3"/>
      <c r="B804" s="98"/>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3"/>
      <c r="B805" s="98"/>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3"/>
      <c r="B806" s="98"/>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3"/>
      <c r="B807" s="98"/>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3"/>
      <c r="B808" s="98"/>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3"/>
      <c r="B809" s="98"/>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3"/>
      <c r="B810" s="98"/>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3"/>
      <c r="B811" s="98"/>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3"/>
      <c r="B812" s="98"/>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3"/>
      <c r="B813" s="98"/>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3"/>
      <c r="B814" s="98"/>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3"/>
      <c r="B815" s="98"/>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3"/>
      <c r="B816" s="98"/>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3"/>
      <c r="B817" s="98"/>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3"/>
      <c r="B818" s="98"/>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3"/>
      <c r="B819" s="98"/>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3"/>
      <c r="B820" s="98"/>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3"/>
      <c r="B821" s="98"/>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3"/>
      <c r="B822" s="98"/>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3"/>
      <c r="B823" s="98"/>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3"/>
      <c r="B824" s="98"/>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3"/>
      <c r="B825" s="98"/>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3"/>
      <c r="B826" s="98"/>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3"/>
      <c r="B827" s="98"/>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3"/>
      <c r="B828" s="98"/>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3"/>
      <c r="B829" s="98"/>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3"/>
      <c r="B830" s="98"/>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3"/>
      <c r="B831" s="98"/>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3"/>
      <c r="B832" s="98"/>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3"/>
      <c r="B833" s="98"/>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3"/>
      <c r="B834" s="98"/>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3"/>
      <c r="B835" s="98"/>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3"/>
      <c r="B836" s="98"/>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3"/>
      <c r="B837" s="98"/>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3"/>
      <c r="B838" s="98"/>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3"/>
      <c r="B839" s="98"/>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3"/>
      <c r="B840" s="98"/>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3"/>
      <c r="B841" s="98"/>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3"/>
      <c r="B842" s="98"/>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3"/>
      <c r="B843" s="98"/>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3"/>
      <c r="B844" s="98"/>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3"/>
      <c r="B845" s="98"/>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3"/>
      <c r="B846" s="98"/>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3"/>
      <c r="B847" s="98"/>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3"/>
      <c r="B848" s="98"/>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3"/>
      <c r="B849" s="98"/>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3"/>
      <c r="B850" s="98"/>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3"/>
      <c r="B851" s="98"/>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3"/>
      <c r="B852" s="98"/>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3"/>
      <c r="B853" s="98"/>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3"/>
      <c r="B854" s="98"/>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3"/>
      <c r="B855" s="98"/>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3"/>
      <c r="B856" s="98"/>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3"/>
      <c r="B857" s="98"/>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3"/>
      <c r="B858" s="98"/>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3"/>
      <c r="B859" s="98"/>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3"/>
      <c r="B860" s="98"/>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3"/>
      <c r="B861" s="98"/>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3"/>
      <c r="B862" s="98"/>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3"/>
      <c r="B863" s="98"/>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3"/>
      <c r="B864" s="98"/>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3"/>
      <c r="B865" s="98"/>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3"/>
      <c r="B866" s="98"/>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3"/>
      <c r="B867" s="98"/>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3"/>
      <c r="B868" s="98"/>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3"/>
      <c r="B869" s="98"/>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3"/>
      <c r="B870" s="98"/>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3"/>
      <c r="B871" s="98"/>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3"/>
      <c r="B872" s="98"/>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3"/>
      <c r="B873" s="98"/>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3"/>
      <c r="B874" s="98"/>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3"/>
      <c r="B875" s="98"/>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3"/>
      <c r="B876" s="98"/>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3"/>
      <c r="B877" s="98"/>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3"/>
      <c r="B878" s="98"/>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3"/>
      <c r="B879" s="98"/>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3"/>
      <c r="B880" s="98"/>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3"/>
      <c r="B881" s="98"/>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3"/>
      <c r="B882" s="98"/>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3"/>
      <c r="B883" s="98"/>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3"/>
      <c r="B884" s="98"/>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3"/>
      <c r="B885" s="98"/>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3"/>
      <c r="B886" s="98"/>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3"/>
      <c r="B887" s="98"/>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3"/>
      <c r="B888" s="98"/>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3"/>
      <c r="B889" s="98"/>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3"/>
      <c r="B890" s="98"/>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3"/>
      <c r="B891" s="98"/>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3"/>
      <c r="B892" s="98"/>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3"/>
      <c r="B893" s="98"/>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3"/>
      <c r="B894" s="98"/>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3"/>
      <c r="B895" s="98"/>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3"/>
      <c r="B896" s="98"/>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3"/>
      <c r="B897" s="98"/>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3"/>
      <c r="B898" s="98"/>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3"/>
      <c r="B899" s="98"/>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3"/>
      <c r="B900" s="98"/>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3"/>
      <c r="B901" s="98"/>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3"/>
      <c r="B902" s="98"/>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3"/>
      <c r="B903" s="98"/>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3"/>
      <c r="B904" s="98"/>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3"/>
      <c r="B905" s="98"/>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3"/>
      <c r="B906" s="98"/>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3"/>
      <c r="B907" s="98"/>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3"/>
      <c r="B908" s="98"/>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3"/>
      <c r="B909" s="98"/>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3"/>
      <c r="B910" s="98"/>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3"/>
      <c r="B911" s="98"/>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3"/>
      <c r="B912" s="98"/>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3"/>
      <c r="B913" s="98"/>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3"/>
      <c r="B914" s="98"/>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3"/>
      <c r="B915" s="98"/>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3"/>
      <c r="B916" s="98"/>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3"/>
      <c r="B917" s="98"/>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3"/>
      <c r="B918" s="98"/>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3"/>
      <c r="B919" s="98"/>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3"/>
      <c r="B920" s="98"/>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3"/>
      <c r="B921" s="98"/>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3"/>
      <c r="B922" s="98"/>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3"/>
      <c r="B923" s="98"/>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3"/>
      <c r="B924" s="98"/>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3"/>
      <c r="B925" s="98"/>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3"/>
      <c r="B926" s="98"/>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3"/>
      <c r="B927" s="98"/>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3"/>
      <c r="B928" s="98"/>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3"/>
      <c r="B929" s="98"/>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3"/>
      <c r="B930" s="98"/>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3"/>
      <c r="B931" s="98"/>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3"/>
      <c r="B932" s="98"/>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3"/>
      <c r="B933" s="98"/>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3"/>
      <c r="B934" s="98"/>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3"/>
      <c r="B935" s="98"/>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3"/>
      <c r="B936" s="98"/>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3"/>
      <c r="B937" s="98"/>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3"/>
      <c r="B938" s="98"/>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3"/>
      <c r="B939" s="98"/>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3"/>
      <c r="B940" s="98"/>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3"/>
      <c r="B941" s="98"/>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3"/>
      <c r="B942" s="98"/>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3"/>
      <c r="B943" s="98"/>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3"/>
      <c r="B944" s="98"/>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3"/>
      <c r="B945" s="98"/>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3"/>
      <c r="B946" s="98"/>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3"/>
      <c r="B947" s="98"/>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3"/>
      <c r="B948" s="98"/>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3"/>
      <c r="B949" s="98"/>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3"/>
      <c r="B950" s="98"/>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3"/>
      <c r="B951" s="98"/>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75" customHeight="1">
      <c r="A952" s="3"/>
      <c r="B952" s="98"/>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75" customHeight="1">
      <c r="A953" s="3"/>
      <c r="B953" s="98"/>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75" customHeight="1">
      <c r="A954" s="3"/>
      <c r="B954" s="98"/>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75" customHeight="1">
      <c r="A955" s="3"/>
      <c r="B955" s="98"/>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75" customHeight="1">
      <c r="A956" s="3"/>
      <c r="B956" s="98"/>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75" customHeight="1">
      <c r="A957" s="3"/>
      <c r="B957" s="98"/>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75" customHeight="1">
      <c r="A958" s="3"/>
      <c r="B958" s="98"/>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75" customHeight="1">
      <c r="A959" s="3"/>
      <c r="B959" s="98"/>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75" customHeight="1">
      <c r="A960" s="3"/>
      <c r="B960" s="98"/>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75" customHeight="1">
      <c r="A961" s="3"/>
      <c r="B961" s="98"/>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75" customHeight="1">
      <c r="A962" s="3"/>
      <c r="B962" s="98"/>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75" customHeight="1">
      <c r="A963" s="3"/>
      <c r="B963" s="98"/>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75" customHeight="1">
      <c r="A964" s="3"/>
      <c r="B964" s="98"/>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75" customHeight="1">
      <c r="A965" s="3"/>
      <c r="B965" s="98"/>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75" customHeight="1">
      <c r="A966" s="3"/>
      <c r="B966" s="98"/>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75" customHeight="1">
      <c r="A967" s="3"/>
      <c r="B967" s="98"/>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75" customHeight="1">
      <c r="A968" s="3"/>
      <c r="B968" s="98"/>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75" customHeight="1">
      <c r="A969" s="3"/>
      <c r="B969" s="98"/>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3"/>
      <c r="B970" s="98"/>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75" customHeight="1">
      <c r="A971" s="3"/>
      <c r="B971" s="98"/>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75" customHeight="1">
      <c r="A972" s="3"/>
      <c r="B972" s="98"/>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75" customHeight="1">
      <c r="A973" s="3"/>
      <c r="B973" s="98"/>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75" customHeight="1">
      <c r="A974" s="3"/>
      <c r="B974" s="98"/>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75" customHeight="1">
      <c r="A975" s="3"/>
      <c r="B975" s="98"/>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75" customHeight="1">
      <c r="A976" s="3"/>
      <c r="B976" s="98"/>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75" customHeight="1">
      <c r="A977" s="3"/>
      <c r="B977" s="98"/>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75" customHeight="1">
      <c r="A978" s="3"/>
      <c r="B978" s="98"/>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75" customHeight="1">
      <c r="A979" s="3"/>
      <c r="B979" s="98"/>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75" customHeight="1">
      <c r="A980" s="3"/>
      <c r="B980" s="98"/>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75" customHeight="1">
      <c r="A981" s="3"/>
      <c r="B981" s="98"/>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75" customHeight="1">
      <c r="A982" s="3"/>
      <c r="B982" s="98"/>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75" customHeight="1">
      <c r="A983" s="3"/>
      <c r="B983" s="98"/>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75" customHeight="1">
      <c r="A984" s="3"/>
      <c r="B984" s="98"/>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75" customHeight="1">
      <c r="A985" s="3"/>
      <c r="B985" s="98"/>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75" customHeight="1">
      <c r="A986" s="3"/>
      <c r="B986" s="98"/>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75" customHeight="1">
      <c r="A987" s="3"/>
      <c r="B987" s="98"/>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75" customHeight="1">
      <c r="A988" s="3"/>
      <c r="B988" s="98"/>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75" customHeight="1">
      <c r="A989" s="3"/>
      <c r="B989" s="98"/>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75" customHeight="1">
      <c r="A990" s="3"/>
      <c r="B990" s="98"/>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75" customHeight="1">
      <c r="A991" s="3"/>
      <c r="B991" s="98"/>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75" customHeight="1">
      <c r="A992" s="3"/>
      <c r="B992" s="98"/>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75" customHeight="1">
      <c r="A993" s="3"/>
      <c r="B993" s="98"/>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75" customHeight="1">
      <c r="A994" s="3"/>
      <c r="B994" s="98"/>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75" customHeight="1">
      <c r="A995" s="3"/>
      <c r="B995" s="98"/>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75" customHeight="1">
      <c r="A996" s="3"/>
      <c r="B996" s="98"/>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75" customHeight="1">
      <c r="A997" s="3"/>
      <c r="B997" s="98"/>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75" customHeight="1">
      <c r="A998" s="3"/>
      <c r="B998" s="98"/>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75" customHeight="1">
      <c r="A999" s="3"/>
      <c r="B999" s="98"/>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75" customHeight="1">
      <c r="A1000" s="3"/>
      <c r="B1000" s="98"/>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B2"/>
    <hyperlink r:id="rId2" ref="B3"/>
    <hyperlink r:id="rId3" ref="B11"/>
    <hyperlink r:id="rId4" ref="B17"/>
  </hyperlinks>
  <printOptions/>
  <pageMargins bottom="0.5" footer="0.0" header="0.0" left="0.5" right="0.5" top="0.5"/>
  <pageSetup orientation="portrait"/>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2017-01-09T18:01:51Z</dcterms:created>
  <dc:creator>Vertex42.com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https://www.vertex42.com/</vt:lpwstr>
  </property>
  <property fmtid="{D5CDD505-2E9C-101B-9397-08002B2CF9AE}" pid="3" name="Copyright">
    <vt:lpwstr>© 2019 Vertex42 LLC</vt:lpwstr>
  </property>
  <property fmtid="{D5CDD505-2E9C-101B-9397-08002B2CF9AE}" pid="4" name="Version">
    <vt:lpwstr>1.0.1</vt:lpwstr>
  </property>
</Properties>
</file>